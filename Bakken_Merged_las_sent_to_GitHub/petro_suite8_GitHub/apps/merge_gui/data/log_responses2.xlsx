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GitHub/Bakken/Bakken_Sanish_Cored_wells_from_Geolog_with_TOPS/data/"/>
    </mc:Choice>
  </mc:AlternateContent>
  <xr:revisionPtr revIDLastSave="0" documentId="13_ncr:1_{406627EC-4793-0141-B765-2DC861A8BD50}" xr6:coauthVersionLast="47" xr6:coauthVersionMax="47" xr10:uidLastSave="{00000000-0000-0000-0000-000000000000}"/>
  <bookViews>
    <workbookView xWindow="0" yWindow="760" windowWidth="25420" windowHeight="10780" tabRatio="500" xr2:uid="{00000000-000D-0000-FFFF-FFFF00000000}"/>
  </bookViews>
  <sheets>
    <sheet name="Sheet1" sheetId="3" r:id="rId1"/>
    <sheet name="Sheet2" sheetId="1" r:id="rId2"/>
    <sheet name="Sheet4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8" i="3" l="1"/>
  <c r="E8" i="3"/>
  <c r="D8" i="3"/>
  <c r="C8" i="3"/>
  <c r="B8" i="3"/>
  <c r="F10" i="1"/>
  <c r="C10" i="1"/>
  <c r="D10" i="1"/>
  <c r="E10" i="1"/>
  <c r="E16" i="2"/>
  <c r="E15" i="2"/>
  <c r="F9" i="1"/>
</calcChain>
</file>

<file path=xl/sharedStrings.xml><?xml version="1.0" encoding="utf-8"?>
<sst xmlns="http://schemas.openxmlformats.org/spreadsheetml/2006/main" count="31" uniqueCount="18">
  <si>
    <t>LOG</t>
  </si>
  <si>
    <t>QUARTZ</t>
  </si>
  <si>
    <t>CALCITE</t>
  </si>
  <si>
    <t>DOLOMITE</t>
  </si>
  <si>
    <t>GR</t>
  </si>
  <si>
    <t>RHOB</t>
  </si>
  <si>
    <t>PEF</t>
  </si>
  <si>
    <t>SHALE</t>
  </si>
  <si>
    <t>POROSITY</t>
  </si>
  <si>
    <t>TNPH</t>
  </si>
  <si>
    <t>DTCO</t>
  </si>
  <si>
    <t>CGR</t>
  </si>
  <si>
    <t>U</t>
  </si>
  <si>
    <t>U = PEF * ( rho0 + 188.3 ) / 1070.4</t>
  </si>
  <si>
    <t>U = rhoe * PEF / 1000</t>
  </si>
  <si>
    <t>rhoe = ( RHO + 188.3 ) / 1.0704</t>
  </si>
  <si>
    <t>U rad_lith</t>
  </si>
  <si>
    <t xml:space="preserve"> U = PEF * (( RHOB*1000+ 188.3 )/1.0704)/1000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</si>
</sst>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2" x14ac:knownFonts="1">
    <font>
      <sz val="10"/>
      <name val="Arial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73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1F47-A065-7A43-8F04-066A76A4CB7B}">
  <dimension ref="A1:F9"/>
  <sheetViews>
    <sheetView tabSelected="1" workbookViewId="0">
      <selection activeCell="B22" sqref="B22"/>
    </sheetView>
  </sheetViews>
  <sheetFormatPr baseColWidth="10" defaultRowHeight="13" x14ac:dyDescent="0.15"/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7</v>
      </c>
      <c r="F1" s="3" t="s">
        <v>8</v>
      </c>
    </row>
    <row r="2" spans="1:6" x14ac:dyDescent="0.15">
      <c r="A2" s="3" t="s">
        <v>11</v>
      </c>
      <c r="B2" s="1">
        <v>40</v>
      </c>
      <c r="C2" s="1">
        <v>0</v>
      </c>
      <c r="D2" s="1">
        <v>0</v>
      </c>
      <c r="E2" s="1">
        <v>175</v>
      </c>
      <c r="F2" s="1">
        <v>0</v>
      </c>
    </row>
    <row r="3" spans="1:6" x14ac:dyDescent="0.15">
      <c r="A3" s="3" t="s">
        <v>4</v>
      </c>
      <c r="B3" s="1">
        <v>40</v>
      </c>
      <c r="C3" s="1">
        <v>0</v>
      </c>
      <c r="D3" s="1">
        <v>0</v>
      </c>
      <c r="E3" s="1">
        <v>350</v>
      </c>
      <c r="F3" s="1">
        <v>0</v>
      </c>
    </row>
    <row r="4" spans="1:6" x14ac:dyDescent="0.15">
      <c r="A4" s="3" t="s">
        <v>9</v>
      </c>
      <c r="B4" s="1">
        <v>-0.04</v>
      </c>
      <c r="C4" s="1">
        <v>0</v>
      </c>
      <c r="D4" s="1">
        <v>8.9999999999999993E-3</v>
      </c>
      <c r="E4" s="1">
        <v>0.3</v>
      </c>
      <c r="F4" s="1">
        <v>1</v>
      </c>
    </row>
    <row r="5" spans="1:6" x14ac:dyDescent="0.15">
      <c r="A5" s="3" t="s">
        <v>5</v>
      </c>
      <c r="B5" s="1">
        <v>2.65</v>
      </c>
      <c r="C5" s="1">
        <v>2.71</v>
      </c>
      <c r="D5" s="1">
        <v>2.87</v>
      </c>
      <c r="E5" s="1">
        <v>2.5</v>
      </c>
      <c r="F5" s="1">
        <v>1.1000000000000001</v>
      </c>
    </row>
    <row r="6" spans="1:6" x14ac:dyDescent="0.15">
      <c r="A6" s="3" t="s">
        <v>10</v>
      </c>
      <c r="B6" s="1">
        <v>55</v>
      </c>
      <c r="C6" s="1">
        <v>47.6</v>
      </c>
      <c r="D6" s="1">
        <v>43.5</v>
      </c>
      <c r="E6" s="1">
        <v>110</v>
      </c>
      <c r="F6" s="1">
        <v>180</v>
      </c>
    </row>
    <row r="7" spans="1:6" x14ac:dyDescent="0.15">
      <c r="A7" s="3" t="s">
        <v>6</v>
      </c>
      <c r="B7" s="1">
        <v>1.8</v>
      </c>
      <c r="C7" s="1">
        <v>5.08</v>
      </c>
      <c r="D7" s="1">
        <v>3.14</v>
      </c>
      <c r="E7" s="1">
        <v>1.8</v>
      </c>
      <c r="F7" s="1">
        <v>0.8</v>
      </c>
    </row>
    <row r="8" spans="1:6" x14ac:dyDescent="0.15">
      <c r="A8" s="3" t="s">
        <v>12</v>
      </c>
      <c r="B8" s="2">
        <f xml:space="preserve"> B7 * (( B5*1000+ 188.3 )/1.0704)/1000</f>
        <v>4.7729260089686107</v>
      </c>
      <c r="C8" s="2">
        <f t="shared" ref="C8:F8" si="0" xml:space="preserve"> C7 * (( C5*1000+ 188.3 )/1.0704)/1000</f>
        <v>13.755011210762332</v>
      </c>
      <c r="D8" s="2">
        <f t="shared" si="0"/>
        <v>8.9714704783258608</v>
      </c>
      <c r="E8" s="2">
        <f t="shared" si="0"/>
        <v>4.5206838565022425</v>
      </c>
      <c r="F8" s="2">
        <f t="shared" si="0"/>
        <v>0.96285500747384167</v>
      </c>
    </row>
    <row r="9" spans="1:6" x14ac:dyDescent="0.15">
      <c r="A9" s="1"/>
      <c r="B9" s="1"/>
      <c r="C9" s="1"/>
      <c r="D9" s="1"/>
      <c r="E9" s="1"/>
      <c r="F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"/>
  <sheetViews>
    <sheetView zoomScaleNormal="100" workbookViewId="0">
      <selection activeCell="B10" sqref="B10"/>
    </sheetView>
  </sheetViews>
  <sheetFormatPr baseColWidth="10" defaultColWidth="8.83203125" defaultRowHeight="13" x14ac:dyDescent="0.15"/>
  <cols>
    <col min="1" max="1025" width="12.1640625" style="1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7</v>
      </c>
      <c r="F1" s="3" t="s">
        <v>8</v>
      </c>
    </row>
    <row r="2" spans="1:6" x14ac:dyDescent="0.15">
      <c r="A2" s="3" t="s">
        <v>11</v>
      </c>
      <c r="B2" s="1">
        <v>40</v>
      </c>
      <c r="C2" s="1">
        <v>0</v>
      </c>
      <c r="D2" s="1">
        <v>0</v>
      </c>
      <c r="E2" s="1">
        <v>175</v>
      </c>
      <c r="F2" s="1">
        <v>0</v>
      </c>
    </row>
    <row r="3" spans="1:6" x14ac:dyDescent="0.15">
      <c r="A3" s="3" t="s">
        <v>4</v>
      </c>
      <c r="B3" s="1">
        <v>40</v>
      </c>
      <c r="C3" s="1">
        <v>0</v>
      </c>
      <c r="D3" s="1">
        <v>0</v>
      </c>
      <c r="E3" s="1">
        <v>350</v>
      </c>
      <c r="F3" s="1">
        <v>0</v>
      </c>
    </row>
    <row r="4" spans="1:6" x14ac:dyDescent="0.15">
      <c r="A4" s="3" t="s">
        <v>9</v>
      </c>
      <c r="B4" s="1">
        <v>-0.04</v>
      </c>
      <c r="C4" s="1">
        <v>0</v>
      </c>
      <c r="D4" s="1">
        <v>8.9999999999999993E-3</v>
      </c>
      <c r="E4" s="1">
        <v>0.3</v>
      </c>
      <c r="F4" s="1">
        <v>1</v>
      </c>
    </row>
    <row r="5" spans="1:6" x14ac:dyDescent="0.15">
      <c r="A5" s="3" t="s">
        <v>5</v>
      </c>
      <c r="B5" s="1">
        <v>2.65</v>
      </c>
      <c r="C5" s="1">
        <v>2.71</v>
      </c>
      <c r="D5" s="1">
        <v>2.87</v>
      </c>
      <c r="E5" s="1">
        <v>2.5</v>
      </c>
      <c r="F5" s="1">
        <v>1.1000000000000001</v>
      </c>
    </row>
    <row r="6" spans="1:6" x14ac:dyDescent="0.15">
      <c r="A6" s="3" t="s">
        <v>10</v>
      </c>
      <c r="B6" s="1">
        <v>55</v>
      </c>
      <c r="C6" s="1">
        <v>47.6</v>
      </c>
      <c r="D6" s="1">
        <v>43.5</v>
      </c>
      <c r="E6" s="1">
        <v>110</v>
      </c>
      <c r="F6" s="1">
        <v>180</v>
      </c>
    </row>
    <row r="7" spans="1:6" x14ac:dyDescent="0.15">
      <c r="A7" s="3" t="s">
        <v>6</v>
      </c>
      <c r="B7" s="1">
        <v>1.8</v>
      </c>
      <c r="C7" s="1">
        <v>5.08</v>
      </c>
      <c r="D7" s="1">
        <v>3.14</v>
      </c>
      <c r="E7" s="1">
        <v>1.8</v>
      </c>
      <c r="F7" s="1">
        <v>0.8</v>
      </c>
    </row>
    <row r="8" spans="1:6" x14ac:dyDescent="0.15">
      <c r="A8" s="3"/>
    </row>
    <row r="9" spans="1:6" x14ac:dyDescent="0.15">
      <c r="A9" s="3" t="s">
        <v>12</v>
      </c>
      <c r="B9" s="1">
        <v>5.04</v>
      </c>
      <c r="C9" s="1">
        <v>14.13</v>
      </c>
      <c r="D9" s="1">
        <v>9.6</v>
      </c>
      <c r="E9" s="1">
        <v>11.12</v>
      </c>
      <c r="F9" s="1">
        <f>F7*F5</f>
        <v>0.88000000000000012</v>
      </c>
    </row>
    <row r="10" spans="1:6" x14ac:dyDescent="0.15">
      <c r="A10" s="3" t="s">
        <v>16</v>
      </c>
      <c r="B10" s="2"/>
      <c r="C10" s="2">
        <f t="shared" ref="C10:F10" si="0" xml:space="preserve"> C7 * (( C5*1000+ 188.3 )/1.0704)/1000</f>
        <v>13.755011210762332</v>
      </c>
      <c r="D10" s="2">
        <f t="shared" si="0"/>
        <v>8.9714704783258608</v>
      </c>
      <c r="E10" s="2">
        <f t="shared" si="0"/>
        <v>4.5206838565022425</v>
      </c>
      <c r="F10" s="2">
        <f t="shared" si="0"/>
        <v>0.96285500747384167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F091-4B7F-5E46-80A2-786C4476DC2A}">
  <dimension ref="B8:E17"/>
  <sheetViews>
    <sheetView topLeftCell="A7" workbookViewId="0">
      <selection activeCell="C17" sqref="C17"/>
    </sheetView>
  </sheetViews>
  <sheetFormatPr baseColWidth="10" defaultRowHeight="13" x14ac:dyDescent="0.15"/>
  <sheetData>
    <row r="8" spans="2:5" x14ac:dyDescent="0.15">
      <c r="B8" t="s">
        <v>13</v>
      </c>
    </row>
    <row r="10" spans="2:5" x14ac:dyDescent="0.15">
      <c r="B10" t="s">
        <v>14</v>
      </c>
    </row>
    <row r="12" spans="2:5" x14ac:dyDescent="0.15">
      <c r="E12" t="s">
        <v>15</v>
      </c>
    </row>
    <row r="15" spans="2:5" x14ac:dyDescent="0.15">
      <c r="E15">
        <f>(2.71 * 1000 + 188.3)/1000</f>
        <v>2.8983000000000003</v>
      </c>
    </row>
    <row r="16" spans="2:5" x14ac:dyDescent="0.15">
      <c r="E16">
        <f>5.08*E15</f>
        <v>14.723364000000002</v>
      </c>
    </row>
    <row r="17" spans="3:3" x14ac:dyDescent="0.15">
      <c r="C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Craig Phillips</cp:lastModifiedBy>
  <cp:revision>61</cp:revision>
  <dcterms:created xsi:type="dcterms:W3CDTF">2023-06-20T16:39:33Z</dcterms:created>
  <dcterms:modified xsi:type="dcterms:W3CDTF">2026-01-10T01:09:46Z</dcterms:modified>
  <dc:language>en-US</dc:language>
</cp:coreProperties>
</file>