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7_Statoil-Github/petrocore/workflow/charts/"/>
    </mc:Choice>
  </mc:AlternateContent>
  <xr:revisionPtr revIDLastSave="0" documentId="13_ncr:1_{0A79F44E-E739-AE47-AF49-1C9C78EB0AAD}" xr6:coauthVersionLast="47" xr6:coauthVersionMax="47" xr10:uidLastSave="{00000000-0000-0000-0000-000000000000}"/>
  <bookViews>
    <workbookView xWindow="0" yWindow="660" windowWidth="30240" windowHeight="18000" xr2:uid="{9A06F230-F72D-9142-86AF-7C2A7BD61041}"/>
  </bookViews>
  <sheets>
    <sheet name="Chartbook" sheetId="2" r:id="rId1"/>
    <sheet name="Neutron-Sonic 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B81" i="2"/>
  <c r="A80" i="2"/>
  <c r="A81" i="2" s="1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63" i="2"/>
  <c r="A63" i="2"/>
  <c r="A44" i="2"/>
  <c r="A24" i="2"/>
  <c r="B23" i="2"/>
  <c r="A3" i="2"/>
  <c r="B3" i="2" s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I2" i="1"/>
  <c r="J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H1" i="1"/>
  <c r="I1" i="1"/>
  <c r="J1" i="1"/>
  <c r="G1" i="1"/>
  <c r="D4" i="1"/>
  <c r="D5" i="1"/>
  <c r="D6" i="1"/>
  <c r="D7" i="1"/>
  <c r="D8" i="1"/>
  <c r="D9" i="1"/>
  <c r="D10" i="1"/>
  <c r="D12" i="1"/>
  <c r="D13" i="1" s="1"/>
  <c r="D14" i="1" s="1"/>
  <c r="D15" i="1" s="1"/>
  <c r="D16" i="1" s="1"/>
  <c r="D17" i="1" s="1"/>
  <c r="D18" i="1" s="1"/>
  <c r="D19" i="1" s="1"/>
  <c r="D21" i="1" s="1"/>
  <c r="D22" i="1" s="1"/>
  <c r="D23" i="1" s="1"/>
  <c r="D24" i="1" s="1"/>
  <c r="D25" i="1" s="1"/>
  <c r="D26" i="1" s="1"/>
  <c r="D27" i="1" s="1"/>
  <c r="D3" i="1"/>
  <c r="C4" i="1"/>
  <c r="C5" i="1" s="1"/>
  <c r="C6" i="1" s="1"/>
  <c r="C7" i="1" s="1"/>
  <c r="C8" i="1" s="1"/>
  <c r="C9" i="1" s="1"/>
  <c r="C10" i="1" s="1"/>
  <c r="C12" i="1" s="1"/>
  <c r="C13" i="1" s="1"/>
  <c r="C14" i="1" s="1"/>
  <c r="C15" i="1" s="1"/>
  <c r="C16" i="1" s="1"/>
  <c r="C17" i="1" s="1"/>
  <c r="C18" i="1" s="1"/>
  <c r="C19" i="1" s="1"/>
  <c r="C21" i="1" s="1"/>
  <c r="C22" i="1" s="1"/>
  <c r="C23" i="1" s="1"/>
  <c r="C24" i="1" s="1"/>
  <c r="C25" i="1" s="1"/>
  <c r="C26" i="1" s="1"/>
  <c r="C27" i="1" s="1"/>
  <c r="C3" i="1"/>
  <c r="A64" i="2" l="1"/>
  <c r="B44" i="2"/>
  <c r="A45" i="2"/>
  <c r="A46" i="2"/>
  <c r="B45" i="2"/>
  <c r="A25" i="2"/>
  <c r="B24" i="2"/>
  <c r="A4" i="2"/>
  <c r="B4" i="2" s="1"/>
  <c r="A65" i="2" l="1"/>
  <c r="B46" i="2"/>
  <c r="A47" i="2"/>
  <c r="B25" i="2"/>
  <c r="A26" i="2"/>
  <c r="A5" i="2"/>
  <c r="B5" i="2" s="1"/>
  <c r="A66" i="2" l="1"/>
  <c r="B47" i="2"/>
  <c r="A48" i="2"/>
  <c r="B26" i="2"/>
  <c r="A27" i="2"/>
  <c r="A6" i="2"/>
  <c r="B6" i="2" s="1"/>
  <c r="A67" i="2" l="1"/>
  <c r="B48" i="2"/>
  <c r="A49" i="2"/>
  <c r="B27" i="2"/>
  <c r="A28" i="2"/>
  <c r="A7" i="2"/>
  <c r="B7" i="2" s="1"/>
  <c r="A68" i="2" l="1"/>
  <c r="B49" i="2"/>
  <c r="A50" i="2"/>
  <c r="B28" i="2"/>
  <c r="A29" i="2"/>
  <c r="A8" i="2"/>
  <c r="B8" i="2" s="1"/>
  <c r="A69" i="2" l="1"/>
  <c r="B50" i="2"/>
  <c r="A51" i="2"/>
  <c r="B29" i="2"/>
  <c r="A30" i="2"/>
  <c r="A9" i="2"/>
  <c r="B9" i="2" s="1"/>
  <c r="A70" i="2" l="1"/>
  <c r="B51" i="2"/>
  <c r="A52" i="2"/>
  <c r="B30" i="2"/>
  <c r="A31" i="2"/>
  <c r="A10" i="2"/>
  <c r="B10" i="2" s="1"/>
  <c r="A71" i="2" l="1"/>
  <c r="B52" i="2"/>
  <c r="A53" i="2"/>
  <c r="B31" i="2"/>
  <c r="A32" i="2"/>
  <c r="A11" i="2"/>
  <c r="B11" i="2" s="1"/>
  <c r="A72" i="2" l="1"/>
  <c r="B53" i="2"/>
  <c r="A54" i="2"/>
  <c r="B32" i="2"/>
  <c r="A33" i="2"/>
  <c r="A12" i="2"/>
  <c r="B12" i="2" s="1"/>
  <c r="A73" i="2" l="1"/>
  <c r="B54" i="2"/>
  <c r="A55" i="2"/>
  <c r="B33" i="2"/>
  <c r="A34" i="2"/>
  <c r="A13" i="2"/>
  <c r="B13" i="2" s="1"/>
  <c r="A74" i="2" l="1"/>
  <c r="B55" i="2"/>
  <c r="A56" i="2"/>
  <c r="B34" i="2"/>
  <c r="A35" i="2"/>
  <c r="A14" i="2"/>
  <c r="B14" i="2" s="1"/>
  <c r="A75" i="2" l="1"/>
  <c r="B56" i="2"/>
  <c r="A57" i="2"/>
  <c r="B35" i="2"/>
  <c r="A36" i="2"/>
  <c r="A15" i="2"/>
  <c r="B15" i="2" s="1"/>
  <c r="A76" i="2" l="1"/>
  <c r="A58" i="2"/>
  <c r="B57" i="2"/>
  <c r="B36" i="2"/>
  <c r="A37" i="2"/>
  <c r="A16" i="2"/>
  <c r="B16" i="2" s="1"/>
  <c r="A77" i="2" l="1"/>
  <c r="B58" i="2"/>
  <c r="A59" i="2"/>
  <c r="B37" i="2"/>
  <c r="A38" i="2"/>
  <c r="A17" i="2"/>
  <c r="B17" i="2" s="1"/>
  <c r="A78" i="2" l="1"/>
  <c r="B59" i="2"/>
  <c r="A60" i="2"/>
  <c r="B60" i="2" s="1"/>
  <c r="B38" i="2"/>
  <c r="A39" i="2"/>
  <c r="A18" i="2"/>
  <c r="B18" i="2" s="1"/>
  <c r="A79" i="2" l="1"/>
  <c r="A40" i="2"/>
  <c r="B39" i="2"/>
  <c r="A19" i="2"/>
  <c r="B19" i="2" s="1"/>
  <c r="B40" i="2" l="1"/>
  <c r="A41" i="2"/>
  <c r="B41" i="2" s="1"/>
  <c r="A20" i="2"/>
  <c r="B20" i="2" s="1"/>
  <c r="A21" i="2" l="1"/>
  <c r="B21" i="2" s="1"/>
</calcChain>
</file>

<file path=xl/sharedStrings.xml><?xml version="1.0" encoding="utf-8"?>
<sst xmlns="http://schemas.openxmlformats.org/spreadsheetml/2006/main" count="9" uniqueCount="9">
  <si>
    <t>Neutron</t>
  </si>
  <si>
    <t>DT</t>
  </si>
  <si>
    <t>Porosity</t>
  </si>
  <si>
    <t>Lith</t>
  </si>
  <si>
    <t>SS</t>
  </si>
  <si>
    <t>LS</t>
  </si>
  <si>
    <t>Dolo</t>
  </si>
  <si>
    <t>PHIT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</si>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</sst>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955-8344-494B-9553-824F7530DF82}">
  <dimension ref="A1:B81"/>
  <sheetViews>
    <sheetView tabSelected="1" topLeftCell="A51" workbookViewId="0">
      <selection activeCell="D83" sqref="D83"/>
    </sheetView>
  </sheetViews>
  <sheetFormatPr baseColWidth="10" defaultRowHeight="16" x14ac:dyDescent="0.2"/>
  <sheetData>
    <row r="1" spans="1:2" x14ac:dyDescent="0.2">
      <c r="A1" s="1" t="s">
        <v>8</v>
      </c>
      <c r="B1" s="1" t="s">
        <v>7</v>
      </c>
    </row>
    <row r="2" spans="1:2" x14ac:dyDescent="0.2">
      <c r="A2">
        <v>1</v>
      </c>
      <c r="B2" s="2">
        <v>0.05</v>
      </c>
    </row>
    <row r="3" spans="1:2" x14ac:dyDescent="0.2">
      <c r="A3">
        <f>A2-0.05</f>
        <v>0.95</v>
      </c>
      <c r="B3">
        <f>0.05/A3</f>
        <v>5.2631578947368425E-2</v>
      </c>
    </row>
    <row r="4" spans="1:2" x14ac:dyDescent="0.2">
      <c r="A4">
        <f t="shared" ref="A4:A21" si="0">A3-0.05</f>
        <v>0.89999999999999991</v>
      </c>
      <c r="B4">
        <f t="shared" ref="B4:B21" si="1">0.05/A4</f>
        <v>5.5555555555555566E-2</v>
      </c>
    </row>
    <row r="5" spans="1:2" x14ac:dyDescent="0.2">
      <c r="A5">
        <f t="shared" si="0"/>
        <v>0.84999999999999987</v>
      </c>
      <c r="B5">
        <f t="shared" si="1"/>
        <v>5.8823529411764719E-2</v>
      </c>
    </row>
    <row r="6" spans="1:2" x14ac:dyDescent="0.2">
      <c r="A6">
        <f t="shared" si="0"/>
        <v>0.79999999999999982</v>
      </c>
      <c r="B6">
        <f t="shared" si="1"/>
        <v>6.2500000000000014E-2</v>
      </c>
    </row>
    <row r="7" spans="1:2" x14ac:dyDescent="0.2">
      <c r="A7">
        <f t="shared" si="0"/>
        <v>0.74999999999999978</v>
      </c>
      <c r="B7">
        <f t="shared" si="1"/>
        <v>6.6666666666666693E-2</v>
      </c>
    </row>
    <row r="8" spans="1:2" x14ac:dyDescent="0.2">
      <c r="A8">
        <f t="shared" si="0"/>
        <v>0.69999999999999973</v>
      </c>
      <c r="B8">
        <f t="shared" si="1"/>
        <v>7.1428571428571466E-2</v>
      </c>
    </row>
    <row r="9" spans="1:2" x14ac:dyDescent="0.2">
      <c r="A9">
        <f t="shared" si="0"/>
        <v>0.64999999999999969</v>
      </c>
      <c r="B9">
        <f t="shared" si="1"/>
        <v>7.6923076923076969E-2</v>
      </c>
    </row>
    <row r="10" spans="1:2" x14ac:dyDescent="0.2">
      <c r="A10">
        <f t="shared" si="0"/>
        <v>0.59999999999999964</v>
      </c>
      <c r="B10">
        <f t="shared" si="1"/>
        <v>8.3333333333333384E-2</v>
      </c>
    </row>
    <row r="11" spans="1:2" x14ac:dyDescent="0.2">
      <c r="A11">
        <f t="shared" si="0"/>
        <v>0.5499999999999996</v>
      </c>
      <c r="B11">
        <f t="shared" si="1"/>
        <v>9.0909090909090981E-2</v>
      </c>
    </row>
    <row r="12" spans="1:2" x14ac:dyDescent="0.2">
      <c r="A12">
        <f t="shared" si="0"/>
        <v>0.49999999999999961</v>
      </c>
      <c r="B12">
        <f t="shared" si="1"/>
        <v>0.10000000000000009</v>
      </c>
    </row>
    <row r="13" spans="1:2" x14ac:dyDescent="0.2">
      <c r="A13">
        <f t="shared" si="0"/>
        <v>0.44999999999999962</v>
      </c>
      <c r="B13">
        <f t="shared" si="1"/>
        <v>0.11111111111111122</v>
      </c>
    </row>
    <row r="14" spans="1:2" x14ac:dyDescent="0.2">
      <c r="A14">
        <f t="shared" si="0"/>
        <v>0.39999999999999963</v>
      </c>
      <c r="B14">
        <f t="shared" si="1"/>
        <v>0.12500000000000011</v>
      </c>
    </row>
    <row r="15" spans="1:2" x14ac:dyDescent="0.2">
      <c r="A15">
        <f t="shared" si="0"/>
        <v>0.34999999999999964</v>
      </c>
      <c r="B15">
        <f t="shared" si="1"/>
        <v>0.14285714285714302</v>
      </c>
    </row>
    <row r="16" spans="1:2" x14ac:dyDescent="0.2">
      <c r="A16">
        <f t="shared" si="0"/>
        <v>0.29999999999999966</v>
      </c>
      <c r="B16">
        <f t="shared" si="1"/>
        <v>0.16666666666666688</v>
      </c>
    </row>
    <row r="17" spans="1:2" x14ac:dyDescent="0.2">
      <c r="A17">
        <f t="shared" si="0"/>
        <v>0.24999999999999967</v>
      </c>
      <c r="B17">
        <f t="shared" si="1"/>
        <v>0.20000000000000029</v>
      </c>
    </row>
    <row r="18" spans="1:2" x14ac:dyDescent="0.2">
      <c r="A18">
        <f t="shared" si="0"/>
        <v>0.19999999999999968</v>
      </c>
      <c r="B18">
        <f t="shared" si="1"/>
        <v>0.25000000000000044</v>
      </c>
    </row>
    <row r="19" spans="1:2" x14ac:dyDescent="0.2">
      <c r="A19">
        <f t="shared" si="0"/>
        <v>0.14999999999999969</v>
      </c>
      <c r="B19">
        <f t="shared" si="1"/>
        <v>0.33333333333333404</v>
      </c>
    </row>
    <row r="20" spans="1:2" x14ac:dyDescent="0.2">
      <c r="A20">
        <f t="shared" si="0"/>
        <v>9.9999999999999686E-2</v>
      </c>
      <c r="B20">
        <f t="shared" si="1"/>
        <v>0.50000000000000155</v>
      </c>
    </row>
    <row r="21" spans="1:2" x14ac:dyDescent="0.2">
      <c r="A21">
        <f t="shared" si="0"/>
        <v>4.9999999999999684E-2</v>
      </c>
      <c r="B21">
        <f t="shared" si="1"/>
        <v>1.0000000000000064</v>
      </c>
    </row>
    <row r="23" spans="1:2" x14ac:dyDescent="0.2">
      <c r="A23">
        <v>1</v>
      </c>
      <c r="B23">
        <f>0.1/A23</f>
        <v>0.1</v>
      </c>
    </row>
    <row r="24" spans="1:2" x14ac:dyDescent="0.2">
      <c r="A24">
        <f>A23-0.05</f>
        <v>0.95</v>
      </c>
      <c r="B24">
        <f>0.1/A24</f>
        <v>0.10526315789473685</v>
      </c>
    </row>
    <row r="25" spans="1:2" x14ac:dyDescent="0.2">
      <c r="A25">
        <f t="shared" ref="A25:A41" si="2">A24-0.05</f>
        <v>0.89999999999999991</v>
      </c>
      <c r="B25">
        <f t="shared" ref="B25:B41" si="3">0.1/A25</f>
        <v>0.11111111111111113</v>
      </c>
    </row>
    <row r="26" spans="1:2" x14ac:dyDescent="0.2">
      <c r="A26">
        <f t="shared" si="2"/>
        <v>0.84999999999999987</v>
      </c>
      <c r="B26">
        <f t="shared" si="3"/>
        <v>0.11764705882352944</v>
      </c>
    </row>
    <row r="27" spans="1:2" x14ac:dyDescent="0.2">
      <c r="A27">
        <f t="shared" si="2"/>
        <v>0.79999999999999982</v>
      </c>
      <c r="B27">
        <f t="shared" si="3"/>
        <v>0.12500000000000003</v>
      </c>
    </row>
    <row r="28" spans="1:2" x14ac:dyDescent="0.2">
      <c r="A28">
        <f t="shared" si="2"/>
        <v>0.74999999999999978</v>
      </c>
      <c r="B28">
        <f t="shared" si="3"/>
        <v>0.13333333333333339</v>
      </c>
    </row>
    <row r="29" spans="1:2" x14ac:dyDescent="0.2">
      <c r="A29">
        <f t="shared" si="2"/>
        <v>0.69999999999999973</v>
      </c>
      <c r="B29">
        <f t="shared" si="3"/>
        <v>0.14285714285714293</v>
      </c>
    </row>
    <row r="30" spans="1:2" x14ac:dyDescent="0.2">
      <c r="A30">
        <f t="shared" si="2"/>
        <v>0.64999999999999969</v>
      </c>
      <c r="B30">
        <f t="shared" si="3"/>
        <v>0.15384615384615394</v>
      </c>
    </row>
    <row r="31" spans="1:2" x14ac:dyDescent="0.2">
      <c r="A31">
        <f t="shared" si="2"/>
        <v>0.59999999999999964</v>
      </c>
      <c r="B31">
        <f t="shared" si="3"/>
        <v>0.16666666666666677</v>
      </c>
    </row>
    <row r="32" spans="1:2" x14ac:dyDescent="0.2">
      <c r="A32">
        <f t="shared" si="2"/>
        <v>0.5499999999999996</v>
      </c>
      <c r="B32">
        <f t="shared" si="3"/>
        <v>0.18181818181818196</v>
      </c>
    </row>
    <row r="33" spans="1:2" x14ac:dyDescent="0.2">
      <c r="A33">
        <f t="shared" si="2"/>
        <v>0.49999999999999961</v>
      </c>
      <c r="B33">
        <f t="shared" si="3"/>
        <v>0.20000000000000018</v>
      </c>
    </row>
    <row r="34" spans="1:2" x14ac:dyDescent="0.2">
      <c r="A34">
        <f t="shared" si="2"/>
        <v>0.44999999999999962</v>
      </c>
      <c r="B34">
        <f t="shared" si="3"/>
        <v>0.22222222222222243</v>
      </c>
    </row>
    <row r="35" spans="1:2" x14ac:dyDescent="0.2">
      <c r="A35">
        <f t="shared" si="2"/>
        <v>0.39999999999999963</v>
      </c>
      <c r="B35">
        <f t="shared" si="3"/>
        <v>0.25000000000000022</v>
      </c>
    </row>
    <row r="36" spans="1:2" x14ac:dyDescent="0.2">
      <c r="A36">
        <f t="shared" si="2"/>
        <v>0.34999999999999964</v>
      </c>
      <c r="B36">
        <f t="shared" si="3"/>
        <v>0.28571428571428603</v>
      </c>
    </row>
    <row r="37" spans="1:2" x14ac:dyDescent="0.2">
      <c r="A37">
        <f t="shared" si="2"/>
        <v>0.29999999999999966</v>
      </c>
      <c r="B37">
        <f t="shared" si="3"/>
        <v>0.33333333333333376</v>
      </c>
    </row>
    <row r="38" spans="1:2" x14ac:dyDescent="0.2">
      <c r="A38">
        <f t="shared" si="2"/>
        <v>0.24999999999999967</v>
      </c>
      <c r="B38">
        <f t="shared" si="3"/>
        <v>0.40000000000000058</v>
      </c>
    </row>
    <row r="39" spans="1:2" x14ac:dyDescent="0.2">
      <c r="A39">
        <f t="shared" si="2"/>
        <v>0.19999999999999968</v>
      </c>
      <c r="B39">
        <f t="shared" si="3"/>
        <v>0.50000000000000089</v>
      </c>
    </row>
    <row r="40" spans="1:2" x14ac:dyDescent="0.2">
      <c r="A40">
        <f>A39-0.05</f>
        <v>0.14999999999999969</v>
      </c>
      <c r="B40">
        <f t="shared" si="3"/>
        <v>0.66666666666666807</v>
      </c>
    </row>
    <row r="41" spans="1:2" x14ac:dyDescent="0.2">
      <c r="A41">
        <f t="shared" si="2"/>
        <v>9.9999999999999686E-2</v>
      </c>
      <c r="B41">
        <f t="shared" si="3"/>
        <v>1.0000000000000031</v>
      </c>
    </row>
    <row r="43" spans="1:2" x14ac:dyDescent="0.2">
      <c r="A43">
        <v>1</v>
      </c>
      <c r="B43">
        <v>0.15</v>
      </c>
    </row>
    <row r="44" spans="1:2" x14ac:dyDescent="0.2">
      <c r="A44">
        <f t="shared" ref="A44:A60" si="4">A43-0.05</f>
        <v>0.95</v>
      </c>
      <c r="B44">
        <f>0.15/A44</f>
        <v>0.15789473684210525</v>
      </c>
    </row>
    <row r="45" spans="1:2" x14ac:dyDescent="0.2">
      <c r="A45">
        <f t="shared" si="4"/>
        <v>0.89999999999999991</v>
      </c>
      <c r="B45">
        <f t="shared" ref="B45:B60" si="5">0.15/A45</f>
        <v>0.16666666666666669</v>
      </c>
    </row>
    <row r="46" spans="1:2" x14ac:dyDescent="0.2">
      <c r="A46">
        <f t="shared" si="4"/>
        <v>0.84999999999999987</v>
      </c>
      <c r="B46">
        <f t="shared" si="5"/>
        <v>0.17647058823529413</v>
      </c>
    </row>
    <row r="47" spans="1:2" x14ac:dyDescent="0.2">
      <c r="A47">
        <f t="shared" si="4"/>
        <v>0.79999999999999982</v>
      </c>
      <c r="B47">
        <f t="shared" si="5"/>
        <v>0.18750000000000003</v>
      </c>
    </row>
    <row r="48" spans="1:2" x14ac:dyDescent="0.2">
      <c r="A48">
        <f t="shared" si="4"/>
        <v>0.74999999999999978</v>
      </c>
      <c r="B48">
        <f t="shared" si="5"/>
        <v>0.20000000000000004</v>
      </c>
    </row>
    <row r="49" spans="1:2" x14ac:dyDescent="0.2">
      <c r="A49">
        <f t="shared" si="4"/>
        <v>0.69999999999999973</v>
      </c>
      <c r="B49">
        <f t="shared" si="5"/>
        <v>0.21428571428571436</v>
      </c>
    </row>
    <row r="50" spans="1:2" x14ac:dyDescent="0.2">
      <c r="A50">
        <f t="shared" si="4"/>
        <v>0.64999999999999969</v>
      </c>
      <c r="B50">
        <f t="shared" si="5"/>
        <v>0.23076923076923087</v>
      </c>
    </row>
    <row r="51" spans="1:2" x14ac:dyDescent="0.2">
      <c r="A51">
        <f t="shared" si="4"/>
        <v>0.59999999999999964</v>
      </c>
      <c r="B51">
        <f t="shared" si="5"/>
        <v>0.25000000000000017</v>
      </c>
    </row>
    <row r="52" spans="1:2" x14ac:dyDescent="0.2">
      <c r="A52">
        <f t="shared" si="4"/>
        <v>0.5499999999999996</v>
      </c>
      <c r="B52">
        <f t="shared" si="5"/>
        <v>0.27272727272727293</v>
      </c>
    </row>
    <row r="53" spans="1:2" x14ac:dyDescent="0.2">
      <c r="A53">
        <f t="shared" si="4"/>
        <v>0.49999999999999961</v>
      </c>
      <c r="B53">
        <f t="shared" si="5"/>
        <v>0.30000000000000021</v>
      </c>
    </row>
    <row r="54" spans="1:2" x14ac:dyDescent="0.2">
      <c r="A54">
        <f t="shared" si="4"/>
        <v>0.44999999999999962</v>
      </c>
      <c r="B54">
        <f t="shared" si="5"/>
        <v>0.33333333333333359</v>
      </c>
    </row>
    <row r="55" spans="1:2" x14ac:dyDescent="0.2">
      <c r="A55">
        <f t="shared" si="4"/>
        <v>0.39999999999999963</v>
      </c>
      <c r="B55">
        <f t="shared" si="5"/>
        <v>0.37500000000000033</v>
      </c>
    </row>
    <row r="56" spans="1:2" x14ac:dyDescent="0.2">
      <c r="A56">
        <f t="shared" si="4"/>
        <v>0.34999999999999964</v>
      </c>
      <c r="B56">
        <f t="shared" si="5"/>
        <v>0.42857142857142899</v>
      </c>
    </row>
    <row r="57" spans="1:2" x14ac:dyDescent="0.2">
      <c r="A57">
        <f t="shared" si="4"/>
        <v>0.29999999999999966</v>
      </c>
      <c r="B57">
        <f t="shared" si="5"/>
        <v>0.50000000000000056</v>
      </c>
    </row>
    <row r="58" spans="1:2" x14ac:dyDescent="0.2">
      <c r="A58">
        <f t="shared" si="4"/>
        <v>0.24999999999999967</v>
      </c>
      <c r="B58">
        <f t="shared" si="5"/>
        <v>0.60000000000000075</v>
      </c>
    </row>
    <row r="59" spans="1:2" x14ac:dyDescent="0.2">
      <c r="A59">
        <f t="shared" si="4"/>
        <v>0.19999999999999968</v>
      </c>
      <c r="B59">
        <f t="shared" si="5"/>
        <v>0.75000000000000122</v>
      </c>
    </row>
    <row r="60" spans="1:2" x14ac:dyDescent="0.2">
      <c r="A60">
        <f t="shared" si="4"/>
        <v>0.14999999999999969</v>
      </c>
      <c r="B60">
        <f t="shared" si="5"/>
        <v>1.000000000000002</v>
      </c>
    </row>
    <row r="62" spans="1:2" x14ac:dyDescent="0.2">
      <c r="A62">
        <v>1</v>
      </c>
      <c r="B62">
        <v>0.05</v>
      </c>
    </row>
    <row r="63" spans="1:2" x14ac:dyDescent="0.2">
      <c r="A63">
        <f t="shared" ref="A63:A81" si="6">A62-0.05</f>
        <v>0.95</v>
      </c>
      <c r="B63">
        <f>0.05/A63</f>
        <v>5.2631578947368425E-2</v>
      </c>
    </row>
    <row r="64" spans="1:2" x14ac:dyDescent="0.2">
      <c r="A64">
        <f t="shared" si="6"/>
        <v>0.89999999999999991</v>
      </c>
      <c r="B64">
        <f t="shared" ref="B64:B81" si="7">0.05/A64</f>
        <v>5.5555555555555566E-2</v>
      </c>
    </row>
    <row r="65" spans="1:2" x14ac:dyDescent="0.2">
      <c r="A65">
        <f t="shared" si="6"/>
        <v>0.84999999999999987</v>
      </c>
      <c r="B65">
        <f t="shared" si="7"/>
        <v>5.8823529411764719E-2</v>
      </c>
    </row>
    <row r="66" spans="1:2" x14ac:dyDescent="0.2">
      <c r="A66">
        <f t="shared" si="6"/>
        <v>0.79999999999999982</v>
      </c>
      <c r="B66">
        <f t="shared" si="7"/>
        <v>6.2500000000000014E-2</v>
      </c>
    </row>
    <row r="67" spans="1:2" x14ac:dyDescent="0.2">
      <c r="A67">
        <f t="shared" si="6"/>
        <v>0.74999999999999978</v>
      </c>
      <c r="B67">
        <f t="shared" si="7"/>
        <v>6.6666666666666693E-2</v>
      </c>
    </row>
    <row r="68" spans="1:2" x14ac:dyDescent="0.2">
      <c r="A68">
        <f t="shared" si="6"/>
        <v>0.69999999999999973</v>
      </c>
      <c r="B68">
        <f t="shared" si="7"/>
        <v>7.1428571428571466E-2</v>
      </c>
    </row>
    <row r="69" spans="1:2" x14ac:dyDescent="0.2">
      <c r="A69">
        <f t="shared" si="6"/>
        <v>0.64999999999999969</v>
      </c>
      <c r="B69">
        <f t="shared" si="7"/>
        <v>7.6923076923076969E-2</v>
      </c>
    </row>
    <row r="70" spans="1:2" x14ac:dyDescent="0.2">
      <c r="A70">
        <f t="shared" si="6"/>
        <v>0.59999999999999964</v>
      </c>
      <c r="B70">
        <f t="shared" si="7"/>
        <v>8.3333333333333384E-2</v>
      </c>
    </row>
    <row r="71" spans="1:2" x14ac:dyDescent="0.2">
      <c r="A71">
        <f t="shared" si="6"/>
        <v>0.5499999999999996</v>
      </c>
      <c r="B71">
        <f t="shared" si="7"/>
        <v>9.0909090909090981E-2</v>
      </c>
    </row>
    <row r="72" spans="1:2" x14ac:dyDescent="0.2">
      <c r="A72">
        <f t="shared" si="6"/>
        <v>0.49999999999999961</v>
      </c>
      <c r="B72">
        <f t="shared" si="7"/>
        <v>0.10000000000000009</v>
      </c>
    </row>
    <row r="73" spans="1:2" x14ac:dyDescent="0.2">
      <c r="A73">
        <f t="shared" si="6"/>
        <v>0.44999999999999962</v>
      </c>
      <c r="B73">
        <f t="shared" si="7"/>
        <v>0.11111111111111122</v>
      </c>
    </row>
    <row r="74" spans="1:2" x14ac:dyDescent="0.2">
      <c r="A74">
        <f t="shared" si="6"/>
        <v>0.39999999999999963</v>
      </c>
      <c r="B74">
        <f t="shared" si="7"/>
        <v>0.12500000000000011</v>
      </c>
    </row>
    <row r="75" spans="1:2" x14ac:dyDescent="0.2">
      <c r="A75">
        <f t="shared" si="6"/>
        <v>0.34999999999999964</v>
      </c>
      <c r="B75">
        <f t="shared" si="7"/>
        <v>0.14285714285714302</v>
      </c>
    </row>
    <row r="76" spans="1:2" x14ac:dyDescent="0.2">
      <c r="A76">
        <f t="shared" si="6"/>
        <v>0.29999999999999966</v>
      </c>
      <c r="B76">
        <f t="shared" si="7"/>
        <v>0.16666666666666688</v>
      </c>
    </row>
    <row r="77" spans="1:2" x14ac:dyDescent="0.2">
      <c r="A77">
        <f t="shared" si="6"/>
        <v>0.24999999999999967</v>
      </c>
      <c r="B77">
        <f t="shared" si="7"/>
        <v>0.20000000000000029</v>
      </c>
    </row>
    <row r="78" spans="1:2" x14ac:dyDescent="0.2">
      <c r="A78">
        <f t="shared" si="6"/>
        <v>0.19999999999999968</v>
      </c>
      <c r="B78">
        <f t="shared" si="7"/>
        <v>0.25000000000000044</v>
      </c>
    </row>
    <row r="79" spans="1:2" x14ac:dyDescent="0.2">
      <c r="A79">
        <f t="shared" si="6"/>
        <v>0.14999999999999969</v>
      </c>
      <c r="B79">
        <f t="shared" si="7"/>
        <v>0.33333333333333404</v>
      </c>
    </row>
    <row r="80" spans="1:2" x14ac:dyDescent="0.2">
      <c r="A80">
        <f t="shared" si="6"/>
        <v>9.9999999999999686E-2</v>
      </c>
      <c r="B80">
        <f t="shared" si="7"/>
        <v>0.50000000000000155</v>
      </c>
    </row>
    <row r="81" spans="1:2" x14ac:dyDescent="0.2">
      <c r="A81">
        <f t="shared" si="6"/>
        <v>4.9999999999999684E-2</v>
      </c>
      <c r="B81">
        <f t="shared" si="7"/>
        <v>1.0000000000000064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E694-E3B6-7E4B-9ACB-0958F90D2B93}">
  <dimension ref="A1:J27"/>
  <sheetViews>
    <sheetView workbookViewId="0">
      <selection activeCell="G1" sqref="G1:J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G1" t="str">
        <f>A1</f>
        <v>Neutron</v>
      </c>
      <c r="H1" t="str">
        <f t="shared" ref="H1:J2" si="0">B1</f>
        <v>DT</v>
      </c>
      <c r="I1" t="str">
        <f t="shared" si="0"/>
        <v>Porosity</v>
      </c>
      <c r="J1" t="str">
        <f t="shared" si="0"/>
        <v>Lith</v>
      </c>
    </row>
    <row r="2" spans="1:10" x14ac:dyDescent="0.2">
      <c r="A2">
        <v>-2.0547945205479401</v>
      </c>
      <c r="B2">
        <v>55.906593406593402</v>
      </c>
      <c r="C2">
        <v>0</v>
      </c>
      <c r="D2" t="s">
        <v>4</v>
      </c>
      <c r="G2">
        <f>A2/100</f>
        <v>-2.0547945205479402E-2</v>
      </c>
      <c r="H2">
        <f>B2</f>
        <v>55.906593406593402</v>
      </c>
      <c r="I2">
        <f t="shared" si="0"/>
        <v>0</v>
      </c>
      <c r="J2" t="str">
        <f t="shared" si="0"/>
        <v>SS</v>
      </c>
    </row>
    <row r="3" spans="1:10" x14ac:dyDescent="0.2">
      <c r="A3">
        <v>1.6438356164383501</v>
      </c>
      <c r="B3">
        <v>62.6373626373626</v>
      </c>
      <c r="C3">
        <f>C2+5</f>
        <v>5</v>
      </c>
      <c r="D3" t="str">
        <f>D2</f>
        <v>SS</v>
      </c>
      <c r="G3">
        <f t="shared" ref="G3:G27" si="1">A3/100</f>
        <v>1.6438356164383501E-2</v>
      </c>
      <c r="H3">
        <f t="shared" ref="H3:H27" si="2">B3</f>
        <v>62.6373626373626</v>
      </c>
      <c r="I3">
        <f t="shared" ref="I3:I27" si="3">C3</f>
        <v>5</v>
      </c>
      <c r="J3" t="str">
        <f t="shared" ref="J3:J27" si="4">D3</f>
        <v>SS</v>
      </c>
    </row>
    <row r="4" spans="1:10" x14ac:dyDescent="0.2">
      <c r="A4">
        <v>6.02739726027397</v>
      </c>
      <c r="B4">
        <v>69.368131868131798</v>
      </c>
      <c r="C4">
        <f t="shared" ref="C4:C27" si="5">C3+5</f>
        <v>10</v>
      </c>
      <c r="D4" t="str">
        <f t="shared" ref="D4:D27" si="6">D3</f>
        <v>SS</v>
      </c>
      <c r="G4">
        <f t="shared" si="1"/>
        <v>6.02739726027397E-2</v>
      </c>
      <c r="H4">
        <f t="shared" si="2"/>
        <v>69.368131868131798</v>
      </c>
      <c r="I4">
        <f t="shared" si="3"/>
        <v>10</v>
      </c>
      <c r="J4" t="str">
        <f t="shared" si="4"/>
        <v>SS</v>
      </c>
    </row>
    <row r="5" spans="1:10" x14ac:dyDescent="0.2">
      <c r="A5">
        <v>10.547945205479399</v>
      </c>
      <c r="B5">
        <v>75.961538461538396</v>
      </c>
      <c r="C5">
        <f t="shared" si="5"/>
        <v>15</v>
      </c>
      <c r="D5" t="str">
        <f t="shared" si="6"/>
        <v>SS</v>
      </c>
      <c r="G5">
        <f t="shared" si="1"/>
        <v>0.10547945205479399</v>
      </c>
      <c r="H5">
        <f t="shared" si="2"/>
        <v>75.961538461538396</v>
      </c>
      <c r="I5">
        <f t="shared" si="3"/>
        <v>15</v>
      </c>
      <c r="J5" t="str">
        <f t="shared" si="4"/>
        <v>SS</v>
      </c>
    </row>
    <row r="6" spans="1:10" x14ac:dyDescent="0.2">
      <c r="A6">
        <v>15.068493150684899</v>
      </c>
      <c r="B6">
        <v>82.692307692307594</v>
      </c>
      <c r="C6">
        <f t="shared" si="5"/>
        <v>20</v>
      </c>
      <c r="D6" t="str">
        <f t="shared" si="6"/>
        <v>SS</v>
      </c>
      <c r="G6">
        <f t="shared" si="1"/>
        <v>0.150684931506849</v>
      </c>
      <c r="H6">
        <f t="shared" si="2"/>
        <v>82.692307692307594</v>
      </c>
      <c r="I6">
        <f t="shared" si="3"/>
        <v>20</v>
      </c>
      <c r="J6" t="str">
        <f t="shared" si="4"/>
        <v>SS</v>
      </c>
    </row>
    <row r="7" spans="1:10" x14ac:dyDescent="0.2">
      <c r="A7">
        <v>20</v>
      </c>
      <c r="B7">
        <v>89.972527472527403</v>
      </c>
      <c r="C7">
        <f t="shared" si="5"/>
        <v>25</v>
      </c>
      <c r="D7" t="str">
        <f t="shared" si="6"/>
        <v>SS</v>
      </c>
      <c r="G7">
        <f t="shared" si="1"/>
        <v>0.2</v>
      </c>
      <c r="H7">
        <f t="shared" si="2"/>
        <v>89.972527472527403</v>
      </c>
      <c r="I7">
        <f t="shared" si="3"/>
        <v>25</v>
      </c>
      <c r="J7" t="str">
        <f t="shared" si="4"/>
        <v>SS</v>
      </c>
    </row>
    <row r="8" spans="1:10" x14ac:dyDescent="0.2">
      <c r="A8">
        <v>24.794520547945201</v>
      </c>
      <c r="B8">
        <v>96.016483516483504</v>
      </c>
      <c r="C8">
        <f t="shared" si="5"/>
        <v>30</v>
      </c>
      <c r="D8" t="str">
        <f t="shared" si="6"/>
        <v>SS</v>
      </c>
      <c r="G8">
        <f t="shared" si="1"/>
        <v>0.24794520547945201</v>
      </c>
      <c r="H8">
        <f t="shared" si="2"/>
        <v>96.016483516483504</v>
      </c>
      <c r="I8">
        <f t="shared" si="3"/>
        <v>30</v>
      </c>
      <c r="J8" t="str">
        <f t="shared" si="4"/>
        <v>SS</v>
      </c>
    </row>
    <row r="9" spans="1:10" x14ac:dyDescent="0.2">
      <c r="A9">
        <v>30</v>
      </c>
      <c r="B9">
        <v>102.74725274725201</v>
      </c>
      <c r="C9">
        <f t="shared" si="5"/>
        <v>35</v>
      </c>
      <c r="D9" t="str">
        <f t="shared" si="6"/>
        <v>SS</v>
      </c>
      <c r="G9">
        <f t="shared" si="1"/>
        <v>0.3</v>
      </c>
      <c r="H9">
        <f t="shared" si="2"/>
        <v>102.74725274725201</v>
      </c>
      <c r="I9">
        <f t="shared" si="3"/>
        <v>35</v>
      </c>
      <c r="J9" t="str">
        <f t="shared" si="4"/>
        <v>SS</v>
      </c>
    </row>
    <row r="10" spans="1:10" x14ac:dyDescent="0.2">
      <c r="A10">
        <v>35.205479452054703</v>
      </c>
      <c r="B10">
        <v>109.203296703296</v>
      </c>
      <c r="C10">
        <f t="shared" si="5"/>
        <v>40</v>
      </c>
      <c r="D10" t="str">
        <f t="shared" si="6"/>
        <v>SS</v>
      </c>
      <c r="G10">
        <f t="shared" si="1"/>
        <v>0.35205479452054705</v>
      </c>
      <c r="H10">
        <f t="shared" si="2"/>
        <v>109.203296703296</v>
      </c>
      <c r="I10">
        <f t="shared" si="3"/>
        <v>40</v>
      </c>
      <c r="J10" t="str">
        <f t="shared" si="4"/>
        <v>SS</v>
      </c>
    </row>
    <row r="11" spans="1:10" x14ac:dyDescent="0.2">
      <c r="A11">
        <v>0.41095890410958902</v>
      </c>
      <c r="B11">
        <v>47.664835164835097</v>
      </c>
      <c r="C11">
        <v>0</v>
      </c>
      <c r="D11" t="s">
        <v>5</v>
      </c>
      <c r="G11">
        <f t="shared" si="1"/>
        <v>4.10958904109589E-3</v>
      </c>
      <c r="H11">
        <f t="shared" si="2"/>
        <v>47.664835164835097</v>
      </c>
      <c r="I11">
        <f t="shared" si="3"/>
        <v>0</v>
      </c>
      <c r="J11" t="str">
        <f t="shared" si="4"/>
        <v>LS</v>
      </c>
    </row>
    <row r="12" spans="1:10" x14ac:dyDescent="0.2">
      <c r="A12">
        <v>5.2054794520547896</v>
      </c>
      <c r="B12">
        <v>55.082417582417499</v>
      </c>
      <c r="C12">
        <f t="shared" si="5"/>
        <v>5</v>
      </c>
      <c r="D12" t="str">
        <f t="shared" si="6"/>
        <v>LS</v>
      </c>
      <c r="G12">
        <f t="shared" si="1"/>
        <v>5.2054794520547898E-2</v>
      </c>
      <c r="H12">
        <f t="shared" si="2"/>
        <v>55.082417582417499</v>
      </c>
      <c r="I12">
        <f t="shared" si="3"/>
        <v>5</v>
      </c>
      <c r="J12" t="str">
        <f t="shared" si="4"/>
        <v>LS</v>
      </c>
    </row>
    <row r="13" spans="1:10" x14ac:dyDescent="0.2">
      <c r="A13">
        <v>10.136986301369801</v>
      </c>
      <c r="B13">
        <v>62.362637362637301</v>
      </c>
      <c r="C13">
        <f t="shared" si="5"/>
        <v>10</v>
      </c>
      <c r="D13" t="str">
        <f t="shared" si="6"/>
        <v>LS</v>
      </c>
      <c r="G13">
        <f t="shared" si="1"/>
        <v>0.10136986301369801</v>
      </c>
      <c r="H13">
        <f t="shared" si="2"/>
        <v>62.362637362637301</v>
      </c>
      <c r="I13">
        <f t="shared" si="3"/>
        <v>10</v>
      </c>
      <c r="J13" t="str">
        <f t="shared" si="4"/>
        <v>LS</v>
      </c>
    </row>
    <row r="14" spans="1:10" x14ac:dyDescent="0.2">
      <c r="A14">
        <v>14.931506849314999</v>
      </c>
      <c r="B14">
        <v>69.093406593406499</v>
      </c>
      <c r="C14">
        <f t="shared" si="5"/>
        <v>15</v>
      </c>
      <c r="D14" t="str">
        <f t="shared" si="6"/>
        <v>LS</v>
      </c>
      <c r="G14">
        <f t="shared" si="1"/>
        <v>0.14931506849314999</v>
      </c>
      <c r="H14">
        <f t="shared" si="2"/>
        <v>69.093406593406499</v>
      </c>
      <c r="I14">
        <f t="shared" si="3"/>
        <v>15</v>
      </c>
      <c r="J14" t="str">
        <f t="shared" si="4"/>
        <v>LS</v>
      </c>
    </row>
    <row r="15" spans="1:10" x14ac:dyDescent="0.2">
      <c r="A15">
        <v>20</v>
      </c>
      <c r="B15">
        <v>76.648351648351607</v>
      </c>
      <c r="C15">
        <f t="shared" si="5"/>
        <v>20</v>
      </c>
      <c r="D15" t="str">
        <f t="shared" si="6"/>
        <v>LS</v>
      </c>
      <c r="G15">
        <f t="shared" si="1"/>
        <v>0.2</v>
      </c>
      <c r="H15">
        <f t="shared" si="2"/>
        <v>76.648351648351607</v>
      </c>
      <c r="I15">
        <f t="shared" si="3"/>
        <v>20</v>
      </c>
      <c r="J15" t="str">
        <f t="shared" si="4"/>
        <v>LS</v>
      </c>
    </row>
    <row r="16" spans="1:10" x14ac:dyDescent="0.2">
      <c r="A16">
        <v>24.931506849314999</v>
      </c>
      <c r="B16">
        <v>83.653846153846104</v>
      </c>
      <c r="C16">
        <f t="shared" si="5"/>
        <v>25</v>
      </c>
      <c r="D16" t="str">
        <f t="shared" si="6"/>
        <v>LS</v>
      </c>
      <c r="G16">
        <f t="shared" si="1"/>
        <v>0.24931506849314999</v>
      </c>
      <c r="H16">
        <f t="shared" si="2"/>
        <v>83.653846153846104</v>
      </c>
      <c r="I16">
        <f t="shared" si="3"/>
        <v>25</v>
      </c>
      <c r="J16" t="str">
        <f t="shared" si="4"/>
        <v>LS</v>
      </c>
    </row>
    <row r="17" spans="1:10" x14ac:dyDescent="0.2">
      <c r="A17">
        <v>29.863013698630098</v>
      </c>
      <c r="B17">
        <v>90.796703296703299</v>
      </c>
      <c r="C17">
        <f t="shared" si="5"/>
        <v>30</v>
      </c>
      <c r="D17" t="str">
        <f t="shared" si="6"/>
        <v>LS</v>
      </c>
      <c r="G17">
        <f t="shared" si="1"/>
        <v>0.29863013698630098</v>
      </c>
      <c r="H17">
        <f t="shared" si="2"/>
        <v>90.796703296703299</v>
      </c>
      <c r="I17">
        <f t="shared" si="3"/>
        <v>30</v>
      </c>
      <c r="J17" t="str">
        <f t="shared" si="4"/>
        <v>LS</v>
      </c>
    </row>
    <row r="18" spans="1:10" x14ac:dyDescent="0.2">
      <c r="A18">
        <v>34.931506849314999</v>
      </c>
      <c r="B18">
        <v>97.527472527472497</v>
      </c>
      <c r="C18">
        <f t="shared" si="5"/>
        <v>35</v>
      </c>
      <c r="D18" t="str">
        <f t="shared" si="6"/>
        <v>LS</v>
      </c>
      <c r="G18">
        <f t="shared" si="1"/>
        <v>0.34931506849314997</v>
      </c>
      <c r="H18">
        <f t="shared" si="2"/>
        <v>97.527472527472497</v>
      </c>
      <c r="I18">
        <f t="shared" si="3"/>
        <v>35</v>
      </c>
      <c r="J18" t="str">
        <f t="shared" si="4"/>
        <v>LS</v>
      </c>
    </row>
    <row r="19" spans="1:10" x14ac:dyDescent="0.2">
      <c r="A19">
        <v>40</v>
      </c>
      <c r="B19">
        <v>104.395604395604</v>
      </c>
      <c r="C19">
        <f t="shared" si="5"/>
        <v>40</v>
      </c>
      <c r="D19" t="str">
        <f t="shared" si="6"/>
        <v>LS</v>
      </c>
      <c r="G19">
        <f t="shared" si="1"/>
        <v>0.4</v>
      </c>
      <c r="H19">
        <f t="shared" si="2"/>
        <v>104.395604395604</v>
      </c>
      <c r="I19">
        <f t="shared" si="3"/>
        <v>40</v>
      </c>
      <c r="J19" t="str">
        <f t="shared" si="4"/>
        <v>LS</v>
      </c>
    </row>
    <row r="20" spans="1:10" x14ac:dyDescent="0.2">
      <c r="A20">
        <v>1.0958904109589001</v>
      </c>
      <c r="B20">
        <v>43.681318681318601</v>
      </c>
      <c r="C20">
        <v>0</v>
      </c>
      <c r="D20" t="s">
        <v>6</v>
      </c>
      <c r="G20">
        <f t="shared" si="1"/>
        <v>1.0958904109589001E-2</v>
      </c>
      <c r="H20">
        <f t="shared" si="2"/>
        <v>43.681318681318601</v>
      </c>
      <c r="I20">
        <f t="shared" si="3"/>
        <v>0</v>
      </c>
      <c r="J20" t="str">
        <f t="shared" si="4"/>
        <v>Dolo</v>
      </c>
    </row>
    <row r="21" spans="1:10" x14ac:dyDescent="0.2">
      <c r="A21">
        <v>6.1643835616438301</v>
      </c>
      <c r="B21">
        <v>50.961538461538403</v>
      </c>
      <c r="C21">
        <f t="shared" si="5"/>
        <v>5</v>
      </c>
      <c r="D21" t="str">
        <f t="shared" si="6"/>
        <v>Dolo</v>
      </c>
      <c r="G21">
        <f t="shared" si="1"/>
        <v>6.1643835616438297E-2</v>
      </c>
      <c r="H21">
        <f t="shared" si="2"/>
        <v>50.961538461538403</v>
      </c>
      <c r="I21">
        <f t="shared" si="3"/>
        <v>5</v>
      </c>
      <c r="J21" t="str">
        <f t="shared" si="4"/>
        <v>Dolo</v>
      </c>
    </row>
    <row r="22" spans="1:10" x14ac:dyDescent="0.2">
      <c r="A22">
        <v>10.2739726027397</v>
      </c>
      <c r="B22">
        <v>57.280219780219703</v>
      </c>
      <c r="C22">
        <f t="shared" si="5"/>
        <v>10</v>
      </c>
      <c r="D22" t="str">
        <f t="shared" si="6"/>
        <v>Dolo</v>
      </c>
      <c r="G22">
        <f t="shared" si="1"/>
        <v>0.102739726027397</v>
      </c>
      <c r="H22">
        <f t="shared" si="2"/>
        <v>57.280219780219703</v>
      </c>
      <c r="I22">
        <f t="shared" si="3"/>
        <v>10</v>
      </c>
      <c r="J22" t="str">
        <f t="shared" si="4"/>
        <v>Dolo</v>
      </c>
    </row>
    <row r="23" spans="1:10" x14ac:dyDescent="0.2">
      <c r="A23">
        <v>17.123287671232799</v>
      </c>
      <c r="B23">
        <v>65.934065934065899</v>
      </c>
      <c r="C23">
        <f t="shared" si="5"/>
        <v>15</v>
      </c>
      <c r="D23" t="str">
        <f t="shared" si="6"/>
        <v>Dolo</v>
      </c>
      <c r="G23">
        <f t="shared" si="1"/>
        <v>0.17123287671232798</v>
      </c>
      <c r="H23">
        <f t="shared" si="2"/>
        <v>65.934065934065899</v>
      </c>
      <c r="I23">
        <f t="shared" si="3"/>
        <v>15</v>
      </c>
      <c r="J23" t="str">
        <f t="shared" si="4"/>
        <v>Dolo</v>
      </c>
    </row>
    <row r="24" spans="1:10" x14ac:dyDescent="0.2">
      <c r="A24">
        <v>22.4657534246575</v>
      </c>
      <c r="B24">
        <v>73.351648351648294</v>
      </c>
      <c r="C24">
        <f t="shared" si="5"/>
        <v>20</v>
      </c>
      <c r="D24" t="str">
        <f t="shared" si="6"/>
        <v>Dolo</v>
      </c>
      <c r="G24">
        <f t="shared" si="1"/>
        <v>0.224657534246575</v>
      </c>
      <c r="H24">
        <f t="shared" si="2"/>
        <v>73.351648351648294</v>
      </c>
      <c r="I24">
        <f t="shared" si="3"/>
        <v>20</v>
      </c>
      <c r="J24" t="str">
        <f t="shared" si="4"/>
        <v>Dolo</v>
      </c>
    </row>
    <row r="25" spans="1:10" x14ac:dyDescent="0.2">
      <c r="A25">
        <v>28.356164383561602</v>
      </c>
      <c r="B25">
        <v>80.219780219780205</v>
      </c>
      <c r="C25">
        <f t="shared" si="5"/>
        <v>25</v>
      </c>
      <c r="D25" t="str">
        <f t="shared" si="6"/>
        <v>Dolo</v>
      </c>
      <c r="G25">
        <f t="shared" si="1"/>
        <v>0.283561643835616</v>
      </c>
      <c r="H25">
        <f t="shared" si="2"/>
        <v>80.219780219780205</v>
      </c>
      <c r="I25">
        <f t="shared" si="3"/>
        <v>25</v>
      </c>
      <c r="J25" t="str">
        <f t="shared" si="4"/>
        <v>Dolo</v>
      </c>
    </row>
    <row r="26" spans="1:10" x14ac:dyDescent="0.2">
      <c r="A26">
        <v>34.246575342465697</v>
      </c>
      <c r="B26">
        <v>87.362637362637301</v>
      </c>
      <c r="C26">
        <f t="shared" si="5"/>
        <v>30</v>
      </c>
      <c r="D26" t="str">
        <f t="shared" si="6"/>
        <v>Dolo</v>
      </c>
      <c r="G26">
        <f t="shared" si="1"/>
        <v>0.34246575342465696</v>
      </c>
      <c r="H26">
        <f t="shared" si="2"/>
        <v>87.362637362637301</v>
      </c>
      <c r="I26">
        <f t="shared" si="3"/>
        <v>30</v>
      </c>
      <c r="J26" t="str">
        <f t="shared" si="4"/>
        <v>Dolo</v>
      </c>
    </row>
    <row r="27" spans="1:10" x14ac:dyDescent="0.2">
      <c r="A27">
        <v>40.136986301369802</v>
      </c>
      <c r="B27">
        <v>94.368131868131798</v>
      </c>
      <c r="C27">
        <f t="shared" si="5"/>
        <v>35</v>
      </c>
      <c r="D27" t="str">
        <f t="shared" si="6"/>
        <v>Dolo</v>
      </c>
      <c r="G27">
        <f t="shared" si="1"/>
        <v>0.40136986301369804</v>
      </c>
      <c r="H27">
        <f t="shared" si="2"/>
        <v>94.368131868131798</v>
      </c>
      <c r="I27">
        <f t="shared" si="3"/>
        <v>35</v>
      </c>
      <c r="J27" t="str">
        <f t="shared" si="4"/>
        <v>Dolo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Chartbook</vt:lpstr>
      <vt:lpstr>Neutron-Sonic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2026-04-07T00:04:49Z</dcterms:created>
  <dcterms:modified xsi:type="dcterms:W3CDTF">2026-04-13T23:11:01Z</dcterms:modified>
</cp:coreProperties>
</file>