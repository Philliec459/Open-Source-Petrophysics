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"/>
    </mc:Choice>
  </mc:AlternateContent>
  <xr:revisionPtr revIDLastSave="0" documentId="13_ncr:1_{7C87C081-D10C-D946-961A-4CE2D92368FF}" xr6:coauthVersionLast="47" xr6:coauthVersionMax="47" xr10:uidLastSave="{00000000-0000-0000-0000-000000000000}"/>
  <bookViews>
    <workbookView xWindow="4740" yWindow="760" windowWidth="28040" windowHeight="17440" xr2:uid="{0D957C00-7264-8C40-9A42-441BD5AAD44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8" i="2"/>
  <c r="K44" i="2"/>
  <c r="I8" i="2"/>
  <c r="K8" i="2"/>
  <c r="L8" i="2"/>
  <c r="K9" i="2"/>
  <c r="K10" i="2"/>
  <c r="K11" i="2"/>
  <c r="K12" i="2"/>
  <c r="K13" i="2"/>
  <c r="I14" i="2"/>
  <c r="K14" i="2"/>
  <c r="L14" i="2"/>
  <c r="K15" i="2"/>
  <c r="K16" i="2"/>
  <c r="K17" i="2"/>
  <c r="K18" i="2"/>
  <c r="K19" i="2"/>
  <c r="I20" i="2"/>
  <c r="K20" i="2"/>
  <c r="L20" i="2"/>
  <c r="K21" i="2"/>
  <c r="K22" i="2"/>
  <c r="K23" i="2"/>
  <c r="K24" i="2"/>
  <c r="K25" i="2"/>
  <c r="I26" i="2"/>
  <c r="K26" i="2"/>
  <c r="L26" i="2"/>
  <c r="K27" i="2"/>
  <c r="K28" i="2"/>
  <c r="K29" i="2"/>
  <c r="K30" i="2"/>
  <c r="I31" i="2"/>
  <c r="K31" i="2"/>
  <c r="L31" i="2"/>
  <c r="K32" i="2"/>
  <c r="K33" i="2"/>
  <c r="K34" i="2"/>
  <c r="K35" i="2"/>
  <c r="I36" i="2"/>
  <c r="K36" i="2"/>
  <c r="L36" i="2"/>
  <c r="K37" i="2"/>
  <c r="K38" i="2"/>
  <c r="K39" i="2"/>
  <c r="I40" i="2"/>
  <c r="K40" i="2"/>
  <c r="L40" i="2"/>
  <c r="K41" i="2"/>
  <c r="K42" i="2"/>
  <c r="K43" i="2"/>
  <c r="L7" i="2"/>
  <c r="J7" i="2"/>
  <c r="K7" i="2"/>
  <c r="I7" i="2"/>
  <c r="G15" i="2"/>
  <c r="G9" i="2"/>
  <c r="D15" i="2"/>
  <c r="D21" i="2"/>
  <c r="D9" i="2"/>
  <c r="L19" i="1"/>
  <c r="L25" i="1"/>
  <c r="L32" i="1"/>
  <c r="L37" i="1"/>
  <c r="L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14" i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13" i="1"/>
  <c r="L13" i="1"/>
  <c r="J13" i="1"/>
  <c r="E20" i="1"/>
  <c r="E21" i="1" s="1"/>
  <c r="E22" i="1" s="1"/>
  <c r="E23" i="1" s="1"/>
  <c r="E24" i="1" s="1"/>
  <c r="E26" i="1"/>
  <c r="E27" i="1" s="1"/>
  <c r="E28" i="1" s="1"/>
  <c r="E29" i="1" s="1"/>
  <c r="E30" i="1" s="1"/>
  <c r="E31" i="1" s="1"/>
  <c r="E33" i="1" s="1"/>
  <c r="E34" i="1" s="1"/>
  <c r="E35" i="1" s="1"/>
  <c r="E36" i="1" s="1"/>
  <c r="E38" i="1" s="1"/>
  <c r="E39" i="1" s="1"/>
  <c r="E40" i="1" s="1"/>
  <c r="E15" i="1"/>
  <c r="E16" i="1" s="1"/>
  <c r="E17" i="1" s="1"/>
  <c r="E18" i="1" s="1"/>
  <c r="H16" i="1"/>
  <c r="L16" i="1" s="1"/>
  <c r="H17" i="1"/>
  <c r="H20" i="1"/>
  <c r="L20" i="1" s="1"/>
  <c r="H21" i="1"/>
  <c r="L21" i="1" s="1"/>
  <c r="H22" i="1"/>
  <c r="L22" i="1" s="1"/>
  <c r="H23" i="1"/>
  <c r="L23" i="1" s="1"/>
  <c r="H24" i="1"/>
  <c r="L24" i="1" s="1"/>
  <c r="H26" i="1"/>
  <c r="L26" i="1" s="1"/>
  <c r="H27" i="1"/>
  <c r="L27" i="1" s="1"/>
  <c r="H28" i="1"/>
  <c r="L28" i="1" s="1"/>
  <c r="H29" i="1"/>
  <c r="L29" i="1" s="1"/>
  <c r="H30" i="1"/>
  <c r="L30" i="1" s="1"/>
  <c r="H31" i="1"/>
  <c r="L31" i="1" s="1"/>
  <c r="H33" i="1"/>
  <c r="L33" i="1" s="1"/>
  <c r="H34" i="1"/>
  <c r="H15" i="1"/>
  <c r="L15" i="1" s="1"/>
  <c r="G16" i="2" l="1"/>
  <c r="L15" i="2"/>
  <c r="L9" i="2"/>
  <c r="G10" i="2"/>
  <c r="I15" i="2"/>
  <c r="D16" i="2"/>
  <c r="D22" i="2"/>
  <c r="I21" i="2"/>
  <c r="I9" i="2"/>
  <c r="D10" i="2"/>
  <c r="L17" i="1"/>
  <c r="H18" i="1"/>
  <c r="L18" i="1" s="1"/>
  <c r="H35" i="1"/>
  <c r="L34" i="1"/>
  <c r="L16" i="2" l="1"/>
  <c r="G17" i="2"/>
  <c r="L10" i="2"/>
  <c r="G11" i="2"/>
  <c r="I16" i="2"/>
  <c r="D17" i="2"/>
  <c r="I22" i="2"/>
  <c r="D23" i="2"/>
  <c r="D11" i="2"/>
  <c r="I10" i="2"/>
  <c r="L35" i="1"/>
  <c r="H36" i="1"/>
  <c r="L17" i="2" l="1"/>
  <c r="G18" i="2"/>
  <c r="L11" i="2"/>
  <c r="G12" i="2"/>
  <c r="I17" i="2"/>
  <c r="D18" i="2"/>
  <c r="I23" i="2"/>
  <c r="D24" i="2"/>
  <c r="I11" i="2"/>
  <c r="D12" i="2"/>
  <c r="L36" i="1"/>
  <c r="H38" i="1"/>
  <c r="L18" i="2" l="1"/>
  <c r="G19" i="2"/>
  <c r="L12" i="2"/>
  <c r="G13" i="2"/>
  <c r="L13" i="2" s="1"/>
  <c r="I18" i="2"/>
  <c r="D19" i="2"/>
  <c r="I19" i="2" s="1"/>
  <c r="I24" i="2"/>
  <c r="D25" i="2"/>
  <c r="I12" i="2"/>
  <c r="D13" i="2"/>
  <c r="I13" i="2" s="1"/>
  <c r="L38" i="1"/>
  <c r="H39" i="1"/>
  <c r="L19" i="2" l="1"/>
  <c r="G21" i="2"/>
  <c r="I25" i="2"/>
  <c r="D27" i="2"/>
  <c r="L39" i="1"/>
  <c r="H40" i="1"/>
  <c r="L40" i="1" s="1"/>
  <c r="L21" i="2" l="1"/>
  <c r="G22" i="2"/>
  <c r="I27" i="2"/>
  <c r="D28" i="2"/>
  <c r="L22" i="2" l="1"/>
  <c r="G23" i="2"/>
  <c r="I28" i="2"/>
  <c r="D29" i="2"/>
  <c r="L23" i="2" l="1"/>
  <c r="G24" i="2"/>
  <c r="I29" i="2"/>
  <c r="D30" i="2"/>
  <c r="L24" i="2" l="1"/>
  <c r="G25" i="2"/>
  <c r="I30" i="2"/>
  <c r="D32" i="2"/>
  <c r="L25" i="2" l="1"/>
  <c r="G27" i="2"/>
  <c r="I32" i="2"/>
  <c r="D33" i="2"/>
  <c r="L27" i="2" l="1"/>
  <c r="G28" i="2"/>
  <c r="I33" i="2"/>
  <c r="D34" i="2"/>
  <c r="L28" i="2" l="1"/>
  <c r="G29" i="2"/>
  <c r="I34" i="2"/>
  <c r="D35" i="2"/>
  <c r="L29" i="2" l="1"/>
  <c r="G30" i="2"/>
  <c r="I35" i="2"/>
  <c r="D37" i="2"/>
  <c r="L30" i="2" l="1"/>
  <c r="G32" i="2"/>
  <c r="I37" i="2"/>
  <c r="D38" i="2"/>
  <c r="L32" i="2" l="1"/>
  <c r="G33" i="2"/>
  <c r="I38" i="2"/>
  <c r="D39" i="2"/>
  <c r="L33" i="2" l="1"/>
  <c r="G34" i="2"/>
  <c r="I39" i="2"/>
  <c r="D41" i="2"/>
  <c r="L34" i="2" l="1"/>
  <c r="G35" i="2"/>
  <c r="I41" i="2"/>
  <c r="D42" i="2"/>
  <c r="L35" i="2" l="1"/>
  <c r="G37" i="2"/>
  <c r="I42" i="2"/>
  <c r="D43" i="2"/>
  <c r="L37" i="2" l="1"/>
  <c r="G38" i="2"/>
  <c r="I43" i="2"/>
  <c r="D44" i="2"/>
  <c r="I44" i="2" s="1"/>
  <c r="L38" i="2" l="1"/>
  <c r="G39" i="2"/>
  <c r="L39" i="2" l="1"/>
  <c r="G41" i="2"/>
  <c r="L41" i="2" l="1"/>
  <c r="G42" i="2"/>
  <c r="L42" i="2" l="1"/>
  <c r="G43" i="2"/>
  <c r="L43" i="2" l="1"/>
  <c r="G44" i="2"/>
  <c r="L44" i="2" s="1"/>
</calcChain>
</file>

<file path=xl/sharedStrings.xml><?xml version="1.0" encoding="utf-8"?>
<sst xmlns="http://schemas.openxmlformats.org/spreadsheetml/2006/main" count="13" uniqueCount="6">
  <si>
    <t>Porosity</t>
  </si>
  <si>
    <t>Permeability</t>
  </si>
  <si>
    <t>Sciw</t>
  </si>
  <si>
    <t>Granberry and Keelan</t>
  </si>
  <si>
    <t>sqrt(k/phi)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</si>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</sst>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rgb="FF2A2929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Sheet1!$M$13</c:f>
              <c:strCache>
                <c:ptCount val="1"/>
                <c:pt idx="0">
                  <c:v>sqrt(k/phi)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Sheet1!$L$14:$L$40</c:f>
              <c:numCache>
                <c:formatCode>General</c:formatCode>
                <c:ptCount val="27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</c:numCache>
            </c:numRef>
          </c:xVal>
          <c:yVal>
            <c:numRef>
              <c:f>Sheet1!$M$14:$M$40</c:f>
              <c:numCache>
                <c:formatCode>General</c:formatCode>
                <c:ptCount val="27"/>
                <c:pt idx="0">
                  <c:v>32.717651246492998</c:v>
                </c:pt>
                <c:pt idx="1">
                  <c:v>40.658777254219473</c:v>
                </c:pt>
                <c:pt idx="2">
                  <c:v>49.338704204081616</c:v>
                </c:pt>
                <c:pt idx="3">
                  <c:v>71.306087008780679</c:v>
                </c:pt>
                <c:pt idx="4">
                  <c:v>123.79122738694959</c:v>
                </c:pt>
                <c:pt idx="5">
                  <c:v>19.511910059995344</c:v>
                </c:pt>
                <c:pt idx="6">
                  <c:v>23.447921239650679</c:v>
                </c:pt>
                <c:pt idx="7">
                  <c:v>33.180025049520054</c:v>
                </c:pt>
                <c:pt idx="8">
                  <c:v>40.609927105359994</c:v>
                </c:pt>
                <c:pt idx="9">
                  <c:v>45.176190253213129</c:v>
                </c:pt>
                <c:pt idx="10">
                  <c:v>55.541709975163336</c:v>
                </c:pt>
                <c:pt idx="11">
                  <c:v>8.4293074648142294</c:v>
                </c:pt>
                <c:pt idx="12">
                  <c:v>10.882180538544342</c:v>
                </c:pt>
                <c:pt idx="13">
                  <c:v>13.394071658234228</c:v>
                </c:pt>
                <c:pt idx="14">
                  <c:v>17.856610965371097</c:v>
                </c:pt>
                <c:pt idx="15">
                  <c:v>21.127835238599388</c:v>
                </c:pt>
                <c:pt idx="16">
                  <c:v>23.719290965192631</c:v>
                </c:pt>
                <c:pt idx="17">
                  <c:v>25.190597386775973</c:v>
                </c:pt>
                <c:pt idx="18">
                  <c:v>3.8685537747094711</c:v>
                </c:pt>
                <c:pt idx="19">
                  <c:v>7.5428640970288656</c:v>
                </c:pt>
                <c:pt idx="20">
                  <c:v>11.972861733146884</c:v>
                </c:pt>
                <c:pt idx="21">
                  <c:v>14.813659111675026</c:v>
                </c:pt>
                <c:pt idx="22">
                  <c:v>16.700664988561314</c:v>
                </c:pt>
                <c:pt idx="23">
                  <c:v>4.7722002781331758</c:v>
                </c:pt>
                <c:pt idx="24">
                  <c:v>7.7666033484047832</c:v>
                </c:pt>
                <c:pt idx="25">
                  <c:v>9.1916936093253128</c:v>
                </c:pt>
                <c:pt idx="26">
                  <c:v>9.5398801469235011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A8-1A41-9FE5-3AD8702E4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107968"/>
        <c:axId val="1911112784"/>
      </c:scatterChart>
      <c:valAx>
        <c:axId val="191110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112784"/>
        <c:crosses val="autoZero"/>
        <c:crossBetween val="midCat"/>
      </c:valAx>
      <c:valAx>
        <c:axId val="191111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10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660400</xdr:colOff>
      <xdr:row>10</xdr:row>
      <xdr:rowOff>152400</xdr:rowOff>
    </xdr:from>
    <xdr:to>
      <xdr:col>7</xdr:col>
      <xdr:colOff>736600</xdr:colOff>
      <xdr:row>42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D73964-B6D4-8244-BF30-4C84575F9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2184400"/>
          <a:ext cx="5854700" cy="654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355600</xdr:colOff>
      <xdr:row>9</xdr:row>
      <xdr:rowOff>152400</xdr:rowOff>
    </xdr:from>
    <xdr:to>
      <xdr:col>18</xdr:col>
      <xdr:colOff>800100</xdr:colOff>
      <xdr:row>22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602FE-FE7E-3580-B85B-12A0F1466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32</xdr:row>
      <xdr:rowOff>0</xdr:rowOff>
    </xdr:from>
    <xdr:to>
      <xdr:col>10</xdr:col>
      <xdr:colOff>800100</xdr:colOff>
      <xdr:row>75</xdr:row>
      <xdr:rowOff>101600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101B10D-D2A0-0CCF-75CC-84FBFDA3A9B0}"/>
            </a:ext>
          </a:extLst>
        </xdr:cNvPr>
        <xdr:cNvSpPr>
          <a:spLocks noChangeAspect="1" noChangeArrowheads="1"/>
        </xdr:cNvSpPr>
      </xdr:nvSpPr>
      <xdr:spPr bwMode="auto">
        <a:xfrm>
          <a:off x="1651000" y="6565900"/>
          <a:ext cx="7912100" cy="883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10</xdr:col>
      <xdr:colOff>800100</xdr:colOff>
      <xdr:row>78</xdr:row>
      <xdr:rowOff>101600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49E17F7-7C41-675E-BAF7-57DE23FCEC51}"/>
            </a:ext>
          </a:extLst>
        </xdr:cNvPr>
        <xdr:cNvSpPr>
          <a:spLocks noChangeAspect="1" noChangeArrowheads="1"/>
        </xdr:cNvSpPr>
      </xdr:nvSpPr>
      <xdr:spPr bwMode="auto">
        <a:xfrm>
          <a:off x="1651000" y="7175500"/>
          <a:ext cx="7912100" cy="883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177800</xdr:colOff>
      <xdr:row>26</xdr:row>
      <xdr:rowOff>190500</xdr:rowOff>
    </xdr:from>
    <xdr:to>
      <xdr:col>8</xdr:col>
      <xdr:colOff>571500</xdr:colOff>
      <xdr:row>59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127B8F-49BE-32BD-C34B-E270DBBD8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5537200"/>
          <a:ext cx="5854700" cy="654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CA21-C65B-6640-BB7C-DD245FB54306}">
  <dimension ref="D7:Q44"/>
  <sheetViews>
    <sheetView tabSelected="1" topLeftCell="B1" zoomScale="75" zoomScaleNormal="75" workbookViewId="0">
      <selection activeCell="O5" sqref="O5:Q48"/>
    </sheetView>
  </sheetViews>
  <sheetFormatPr baseColWidth="10" defaultRowHeight="16" x14ac:dyDescent="0.2"/>
  <sheetData>
    <row r="7" spans="4:17" x14ac:dyDescent="0.2">
      <c r="D7" t="s">
        <v>5</v>
      </c>
      <c r="E7" s="6" t="s">
        <v>0</v>
      </c>
      <c r="F7" s="6" t="s">
        <v>1</v>
      </c>
      <c r="G7" s="6" t="s">
        <v>2</v>
      </c>
      <c r="I7" s="6" t="str">
        <f>D7</f>
        <v>Number</v>
      </c>
      <c r="J7" s="6" t="str">
        <f t="shared" ref="J7:K7" si="0">E7</f>
        <v>Porosity</v>
      </c>
      <c r="K7" s="6" t="str">
        <f t="shared" si="0"/>
        <v>Permeability</v>
      </c>
      <c r="L7" s="6" t="str">
        <f>G7</f>
        <v>Sciw</v>
      </c>
      <c r="N7" s="6" t="s">
        <v>5</v>
      </c>
      <c r="O7" s="6" t="s">
        <v>0</v>
      </c>
      <c r="P7" s="6" t="s">
        <v>1</v>
      </c>
      <c r="Q7" s="6" t="s">
        <v>2</v>
      </c>
    </row>
    <row r="8" spans="4:17" x14ac:dyDescent="0.2">
      <c r="D8">
        <v>1</v>
      </c>
      <c r="E8">
        <v>5.1937984496123999</v>
      </c>
      <c r="F8">
        <v>55.486335881450898</v>
      </c>
      <c r="G8">
        <v>0.3</v>
      </c>
      <c r="I8">
        <f t="shared" ref="I8:I43" si="1">D8</f>
        <v>1</v>
      </c>
      <c r="J8">
        <f>E8/100</f>
        <v>5.1937984496123996E-2</v>
      </c>
      <c r="K8">
        <f t="shared" ref="K8:K44" si="2">F8</f>
        <v>55.486335881450898</v>
      </c>
      <c r="L8">
        <f t="shared" ref="L8:L43" si="3">G8</f>
        <v>0.3</v>
      </c>
      <c r="N8">
        <v>1</v>
      </c>
      <c r="O8">
        <v>3.7984496124030903E-2</v>
      </c>
      <c r="P8">
        <v>183.47035085452501</v>
      </c>
      <c r="Q8">
        <v>0.2</v>
      </c>
    </row>
    <row r="9" spans="4:17" x14ac:dyDescent="0.2">
      <c r="D9">
        <f>D8+1</f>
        <v>2</v>
      </c>
      <c r="E9">
        <v>9.9224806201550297</v>
      </c>
      <c r="F9">
        <v>145.475781084804</v>
      </c>
      <c r="G9">
        <f>G8</f>
        <v>0.3</v>
      </c>
      <c r="I9">
        <f t="shared" si="1"/>
        <v>2</v>
      </c>
      <c r="J9">
        <f t="shared" ref="J9:J44" si="4">E9/100</f>
        <v>9.9224806201550303E-2</v>
      </c>
      <c r="K9">
        <f t="shared" si="2"/>
        <v>145.475781084804</v>
      </c>
      <c r="L9">
        <f t="shared" si="3"/>
        <v>0.3</v>
      </c>
      <c r="N9">
        <v>2</v>
      </c>
      <c r="O9">
        <v>9.5348837209302303E-2</v>
      </c>
      <c r="P9">
        <v>432.17427760378803</v>
      </c>
      <c r="Q9">
        <v>0.2</v>
      </c>
    </row>
    <row r="10" spans="4:17" x14ac:dyDescent="0.2">
      <c r="D10">
        <f t="shared" ref="D10:D44" si="5">D9+1</f>
        <v>3</v>
      </c>
      <c r="E10">
        <v>16.589147286821699</v>
      </c>
      <c r="F10">
        <v>348.84753529516303</v>
      </c>
      <c r="G10">
        <f t="shared" ref="G10:G44" si="6">G9</f>
        <v>0.3</v>
      </c>
      <c r="I10">
        <f t="shared" si="1"/>
        <v>3</v>
      </c>
      <c r="J10">
        <f t="shared" si="4"/>
        <v>0.16589147286821698</v>
      </c>
      <c r="K10">
        <f t="shared" si="2"/>
        <v>348.84753529516303</v>
      </c>
      <c r="L10">
        <f t="shared" si="3"/>
        <v>0.3</v>
      </c>
      <c r="N10">
        <v>3</v>
      </c>
      <c r="O10">
        <v>0.15271317829457301</v>
      </c>
      <c r="P10">
        <v>964.93070000341095</v>
      </c>
      <c r="Q10">
        <v>0.2</v>
      </c>
    </row>
    <row r="11" spans="4:17" x14ac:dyDescent="0.2">
      <c r="D11">
        <f t="shared" si="5"/>
        <v>4</v>
      </c>
      <c r="E11">
        <v>21.395348837209301</v>
      </c>
      <c r="F11">
        <v>851.59393182538395</v>
      </c>
      <c r="G11">
        <f t="shared" si="6"/>
        <v>0.3</v>
      </c>
      <c r="I11">
        <f t="shared" si="1"/>
        <v>4</v>
      </c>
      <c r="J11">
        <f t="shared" si="4"/>
        <v>0.21395348837209302</v>
      </c>
      <c r="K11">
        <f t="shared" si="2"/>
        <v>851.59393182538395</v>
      </c>
      <c r="L11">
        <f t="shared" si="3"/>
        <v>0.3</v>
      </c>
      <c r="N11">
        <v>4</v>
      </c>
      <c r="O11">
        <v>0.191472868217054</v>
      </c>
      <c r="P11">
        <v>1970.4873148561401</v>
      </c>
      <c r="Q11">
        <v>0.2</v>
      </c>
    </row>
    <row r="12" spans="4:17" x14ac:dyDescent="0.2">
      <c r="D12">
        <f t="shared" si="5"/>
        <v>5</v>
      </c>
      <c r="E12">
        <v>23.953488372092998</v>
      </c>
      <c r="F12">
        <v>2005.97530110041</v>
      </c>
      <c r="G12">
        <f t="shared" si="6"/>
        <v>0.3</v>
      </c>
      <c r="I12">
        <f t="shared" si="1"/>
        <v>5</v>
      </c>
      <c r="J12">
        <f t="shared" si="4"/>
        <v>0.23953488372092999</v>
      </c>
      <c r="K12">
        <f t="shared" si="2"/>
        <v>2005.97530110041</v>
      </c>
      <c r="L12">
        <f t="shared" si="3"/>
        <v>0.3</v>
      </c>
      <c r="N12">
        <v>5</v>
      </c>
      <c r="O12">
        <v>0.21550387596899198</v>
      </c>
      <c r="P12">
        <v>4559.4738441667796</v>
      </c>
      <c r="Q12">
        <v>0.2</v>
      </c>
    </row>
    <row r="13" spans="4:17" x14ac:dyDescent="0.2">
      <c r="D13">
        <f t="shared" si="5"/>
        <v>6</v>
      </c>
      <c r="E13">
        <v>25.038759689922401</v>
      </c>
      <c r="F13">
        <v>4096.4070111139899</v>
      </c>
      <c r="G13">
        <f t="shared" si="6"/>
        <v>0.3</v>
      </c>
      <c r="I13">
        <f t="shared" si="1"/>
        <v>6</v>
      </c>
      <c r="J13">
        <f t="shared" si="4"/>
        <v>0.25038759689922402</v>
      </c>
      <c r="K13">
        <f t="shared" si="2"/>
        <v>4096.4070111139899</v>
      </c>
      <c r="L13">
        <f t="shared" si="3"/>
        <v>0.3</v>
      </c>
      <c r="N13">
        <v>1</v>
      </c>
      <c r="O13">
        <v>5.1937984496123996E-2</v>
      </c>
      <c r="P13">
        <v>55.486335881450898</v>
      </c>
      <c r="Q13">
        <v>0.3</v>
      </c>
    </row>
    <row r="14" spans="4:17" x14ac:dyDescent="0.2">
      <c r="D14">
        <v>1</v>
      </c>
      <c r="E14">
        <v>5.03875968992247</v>
      </c>
      <c r="F14">
        <v>19.0138370407198</v>
      </c>
      <c r="G14">
        <v>0.4</v>
      </c>
      <c r="I14">
        <f t="shared" si="1"/>
        <v>1</v>
      </c>
      <c r="J14">
        <f t="shared" si="4"/>
        <v>5.0387596899224701E-2</v>
      </c>
      <c r="K14">
        <f t="shared" si="2"/>
        <v>19.0138370407198</v>
      </c>
      <c r="L14">
        <f t="shared" si="3"/>
        <v>0.4</v>
      </c>
      <c r="N14">
        <v>2</v>
      </c>
      <c r="O14">
        <v>9.9224806201550303E-2</v>
      </c>
      <c r="P14">
        <v>145.475781084804</v>
      </c>
      <c r="Q14">
        <v>0.3</v>
      </c>
    </row>
    <row r="15" spans="4:17" x14ac:dyDescent="0.2">
      <c r="D15">
        <f t="shared" si="5"/>
        <v>2</v>
      </c>
      <c r="E15">
        <v>11.937984496124001</v>
      </c>
      <c r="F15">
        <v>60.666052475697299</v>
      </c>
      <c r="G15">
        <f t="shared" si="6"/>
        <v>0.4</v>
      </c>
      <c r="I15">
        <f t="shared" si="1"/>
        <v>2</v>
      </c>
      <c r="J15">
        <f t="shared" si="4"/>
        <v>0.11937984496124</v>
      </c>
      <c r="K15">
        <f t="shared" si="2"/>
        <v>60.666052475697299</v>
      </c>
      <c r="L15">
        <f t="shared" si="3"/>
        <v>0.4</v>
      </c>
      <c r="N15">
        <v>3</v>
      </c>
      <c r="O15">
        <v>0.16589147286821698</v>
      </c>
      <c r="P15">
        <v>348.84753529516303</v>
      </c>
      <c r="Q15">
        <v>0.3</v>
      </c>
    </row>
    <row r="16" spans="4:17" x14ac:dyDescent="0.2">
      <c r="D16">
        <f t="shared" si="5"/>
        <v>3</v>
      </c>
      <c r="E16">
        <v>20.465116279069701</v>
      </c>
      <c r="F16">
        <v>197.04873148561401</v>
      </c>
      <c r="G16">
        <f t="shared" si="6"/>
        <v>0.4</v>
      </c>
      <c r="I16">
        <f t="shared" si="1"/>
        <v>3</v>
      </c>
      <c r="J16">
        <f t="shared" si="4"/>
        <v>0.20465116279069701</v>
      </c>
      <c r="K16">
        <f t="shared" si="2"/>
        <v>197.04873148561401</v>
      </c>
      <c r="L16">
        <f t="shared" si="3"/>
        <v>0.4</v>
      </c>
      <c r="N16">
        <v>4</v>
      </c>
      <c r="O16">
        <v>0.21395348837209302</v>
      </c>
      <c r="P16">
        <v>851.59393182538395</v>
      </c>
      <c r="Q16">
        <v>0.3</v>
      </c>
    </row>
    <row r="17" spans="4:17" x14ac:dyDescent="0.2">
      <c r="D17">
        <f t="shared" si="5"/>
        <v>4</v>
      </c>
      <c r="E17">
        <v>28.139534883720899</v>
      </c>
      <c r="F17">
        <v>432.17427760378803</v>
      </c>
      <c r="G17">
        <f t="shared" si="6"/>
        <v>0.4</v>
      </c>
      <c r="I17">
        <f t="shared" si="1"/>
        <v>4</v>
      </c>
      <c r="J17">
        <f t="shared" si="4"/>
        <v>0.28139534883720896</v>
      </c>
      <c r="K17">
        <f t="shared" si="2"/>
        <v>432.17427760378803</v>
      </c>
      <c r="L17">
        <f t="shared" si="3"/>
        <v>0.4</v>
      </c>
      <c r="N17">
        <v>5</v>
      </c>
      <c r="O17">
        <v>0.23953488372092999</v>
      </c>
      <c r="P17">
        <v>2005.97530110041</v>
      </c>
      <c r="Q17">
        <v>0.3</v>
      </c>
    </row>
    <row r="18" spans="4:17" x14ac:dyDescent="0.2">
      <c r="D18">
        <f t="shared" si="5"/>
        <v>5</v>
      </c>
      <c r="E18">
        <v>32.093023255813897</v>
      </c>
      <c r="F18">
        <v>628.70890599172401</v>
      </c>
      <c r="G18">
        <f t="shared" si="6"/>
        <v>0.4</v>
      </c>
      <c r="I18">
        <f t="shared" si="1"/>
        <v>5</v>
      </c>
      <c r="J18">
        <f t="shared" si="4"/>
        <v>0.32093023255813896</v>
      </c>
      <c r="K18">
        <f t="shared" si="2"/>
        <v>628.70890599172401</v>
      </c>
      <c r="L18">
        <f t="shared" si="3"/>
        <v>0.4</v>
      </c>
      <c r="N18">
        <v>6</v>
      </c>
      <c r="O18">
        <v>0.25038759689922402</v>
      </c>
      <c r="P18">
        <v>4096.4070111139899</v>
      </c>
      <c r="Q18">
        <v>0.3</v>
      </c>
    </row>
    <row r="19" spans="4:17" x14ac:dyDescent="0.2">
      <c r="D19">
        <f t="shared" si="5"/>
        <v>6</v>
      </c>
      <c r="E19">
        <v>34.9612403100775</v>
      </c>
      <c r="F19">
        <v>1036.34385349794</v>
      </c>
      <c r="G19">
        <f t="shared" si="6"/>
        <v>0.4</v>
      </c>
      <c r="I19">
        <f t="shared" si="1"/>
        <v>6</v>
      </c>
      <c r="J19">
        <f t="shared" si="4"/>
        <v>0.34961240310077502</v>
      </c>
      <c r="K19">
        <f t="shared" si="2"/>
        <v>1036.34385349794</v>
      </c>
      <c r="L19">
        <f t="shared" si="3"/>
        <v>0.4</v>
      </c>
      <c r="N19">
        <v>1</v>
      </c>
      <c r="O19">
        <v>5.0387596899224701E-2</v>
      </c>
      <c r="P19">
        <v>19.0138370407198</v>
      </c>
      <c r="Q19">
        <v>0.4</v>
      </c>
    </row>
    <row r="20" spans="4:17" x14ac:dyDescent="0.2">
      <c r="D20">
        <v>1</v>
      </c>
      <c r="E20">
        <v>4.1085271317829397</v>
      </c>
      <c r="F20">
        <v>2.8158687175056301</v>
      </c>
      <c r="G20">
        <v>0.5</v>
      </c>
      <c r="I20">
        <f t="shared" si="1"/>
        <v>1</v>
      </c>
      <c r="J20">
        <f t="shared" si="4"/>
        <v>4.1085271317829394E-2</v>
      </c>
      <c r="K20">
        <f t="shared" si="2"/>
        <v>2.8158687175056301</v>
      </c>
      <c r="L20">
        <f t="shared" si="3"/>
        <v>0.5</v>
      </c>
      <c r="N20">
        <v>2</v>
      </c>
      <c r="O20">
        <v>0.11937984496124</v>
      </c>
      <c r="P20">
        <v>60.666052475697299</v>
      </c>
      <c r="Q20">
        <v>0.4</v>
      </c>
    </row>
    <row r="21" spans="4:17" x14ac:dyDescent="0.2">
      <c r="D21">
        <f t="shared" si="5"/>
        <v>2</v>
      </c>
      <c r="E21">
        <v>9.6899224806201492</v>
      </c>
      <c r="F21">
        <v>10.933512100224601</v>
      </c>
      <c r="G21">
        <f t="shared" si="6"/>
        <v>0.5</v>
      </c>
      <c r="I21">
        <f t="shared" si="1"/>
        <v>2</v>
      </c>
      <c r="J21">
        <f t="shared" si="4"/>
        <v>9.6899224806201487E-2</v>
      </c>
      <c r="K21">
        <f t="shared" si="2"/>
        <v>10.933512100224601</v>
      </c>
      <c r="L21">
        <f t="shared" si="3"/>
        <v>0.5</v>
      </c>
      <c r="N21">
        <v>3</v>
      </c>
      <c r="O21">
        <v>0.20465116279069701</v>
      </c>
      <c r="P21">
        <v>197.04873148561401</v>
      </c>
      <c r="Q21">
        <v>0.4</v>
      </c>
    </row>
    <row r="22" spans="4:17" x14ac:dyDescent="0.2">
      <c r="D22">
        <f t="shared" si="5"/>
        <v>3</v>
      </c>
      <c r="E22">
        <v>17.829457364341</v>
      </c>
      <c r="F22">
        <v>44.788115623459902</v>
      </c>
      <c r="G22">
        <f t="shared" si="6"/>
        <v>0.5</v>
      </c>
      <c r="I22">
        <f t="shared" si="1"/>
        <v>3</v>
      </c>
      <c r="J22">
        <f t="shared" si="4"/>
        <v>0.17829457364341</v>
      </c>
      <c r="K22">
        <f t="shared" si="2"/>
        <v>44.788115623459902</v>
      </c>
      <c r="L22">
        <f t="shared" si="3"/>
        <v>0.5</v>
      </c>
      <c r="N22">
        <v>4</v>
      </c>
      <c r="O22">
        <v>0.28139534883720896</v>
      </c>
      <c r="P22">
        <v>432.17427760378803</v>
      </c>
      <c r="Q22">
        <v>0.4</v>
      </c>
    </row>
    <row r="23" spans="4:17" x14ac:dyDescent="0.2">
      <c r="D23">
        <f t="shared" si="5"/>
        <v>4</v>
      </c>
      <c r="E23">
        <v>24.5736434108527</v>
      </c>
      <c r="F23">
        <v>115.349443567666</v>
      </c>
      <c r="G23">
        <f t="shared" si="6"/>
        <v>0.5</v>
      </c>
      <c r="I23">
        <f t="shared" si="1"/>
        <v>4</v>
      </c>
      <c r="J23">
        <f t="shared" si="4"/>
        <v>0.245736434108527</v>
      </c>
      <c r="K23">
        <f t="shared" si="2"/>
        <v>115.349443567666</v>
      </c>
      <c r="L23">
        <f t="shared" si="3"/>
        <v>0.5</v>
      </c>
      <c r="N23">
        <v>5</v>
      </c>
      <c r="O23">
        <v>0.32093023255813896</v>
      </c>
      <c r="P23">
        <v>628.70890599172401</v>
      </c>
      <c r="Q23">
        <v>0.4</v>
      </c>
    </row>
    <row r="24" spans="4:17" x14ac:dyDescent="0.2">
      <c r="D24">
        <f t="shared" si="5"/>
        <v>5</v>
      </c>
      <c r="E24">
        <v>31.937984496123999</v>
      </c>
      <c r="F24">
        <v>186.774606222356</v>
      </c>
      <c r="G24">
        <f t="shared" si="6"/>
        <v>0.5</v>
      </c>
      <c r="I24">
        <f t="shared" si="1"/>
        <v>5</v>
      </c>
      <c r="J24">
        <f t="shared" si="4"/>
        <v>0.31937984496124</v>
      </c>
      <c r="K24">
        <f t="shared" si="2"/>
        <v>186.774606222356</v>
      </c>
      <c r="L24">
        <f t="shared" si="3"/>
        <v>0.5</v>
      </c>
      <c r="N24">
        <v>6</v>
      </c>
      <c r="O24">
        <v>0.34961240310077502</v>
      </c>
      <c r="P24">
        <v>1036.34385349794</v>
      </c>
      <c r="Q24">
        <v>0.4</v>
      </c>
    </row>
    <row r="25" spans="4:17" x14ac:dyDescent="0.2">
      <c r="D25">
        <f t="shared" si="5"/>
        <v>6</v>
      </c>
      <c r="E25">
        <v>34.728682170542598</v>
      </c>
      <c r="F25">
        <v>223.27351487772799</v>
      </c>
      <c r="G25">
        <f t="shared" si="6"/>
        <v>0.5</v>
      </c>
      <c r="I25">
        <f t="shared" si="1"/>
        <v>6</v>
      </c>
      <c r="J25">
        <f t="shared" si="4"/>
        <v>0.34728682170542596</v>
      </c>
      <c r="K25">
        <f t="shared" si="2"/>
        <v>223.27351487772799</v>
      </c>
      <c r="L25">
        <f t="shared" si="3"/>
        <v>0.5</v>
      </c>
      <c r="N25">
        <v>1</v>
      </c>
      <c r="O25">
        <v>4.1085271317829394E-2</v>
      </c>
      <c r="P25">
        <v>2.8158687175056301</v>
      </c>
      <c r="Q25">
        <v>0.5</v>
      </c>
    </row>
    <row r="26" spans="4:17" x14ac:dyDescent="0.2">
      <c r="D26">
        <v>1</v>
      </c>
      <c r="E26">
        <v>8.6821705426356495</v>
      </c>
      <c r="F26">
        <v>1.1954168684575801</v>
      </c>
      <c r="G26">
        <v>0.6</v>
      </c>
      <c r="I26">
        <f t="shared" si="1"/>
        <v>1</v>
      </c>
      <c r="J26">
        <f t="shared" si="4"/>
        <v>8.6821705426356491E-2</v>
      </c>
      <c r="K26">
        <f t="shared" si="2"/>
        <v>1.1954168684575801</v>
      </c>
      <c r="L26">
        <f t="shared" si="3"/>
        <v>0.6</v>
      </c>
      <c r="N26">
        <v>2</v>
      </c>
      <c r="O26">
        <v>9.6899224806201487E-2</v>
      </c>
      <c r="P26">
        <v>10.933512100224601</v>
      </c>
      <c r="Q26">
        <v>0.5</v>
      </c>
    </row>
    <row r="27" spans="4:17" x14ac:dyDescent="0.2">
      <c r="D27">
        <f t="shared" si="5"/>
        <v>2</v>
      </c>
      <c r="E27">
        <v>13.410852713178199</v>
      </c>
      <c r="F27">
        <v>4.1701822821169303</v>
      </c>
      <c r="G27">
        <f t="shared" si="6"/>
        <v>0.6</v>
      </c>
      <c r="I27">
        <f t="shared" si="1"/>
        <v>2</v>
      </c>
      <c r="J27">
        <f t="shared" si="4"/>
        <v>0.13410852713178201</v>
      </c>
      <c r="K27">
        <f t="shared" si="2"/>
        <v>4.1701822821169303</v>
      </c>
      <c r="L27">
        <f t="shared" si="3"/>
        <v>0.6</v>
      </c>
      <c r="N27">
        <v>3</v>
      </c>
      <c r="O27">
        <v>0.17829457364341</v>
      </c>
      <c r="P27">
        <v>44.788115623459902</v>
      </c>
      <c r="Q27">
        <v>0.5</v>
      </c>
    </row>
    <row r="28" spans="4:17" x14ac:dyDescent="0.2">
      <c r="D28">
        <f t="shared" si="5"/>
        <v>3</v>
      </c>
      <c r="E28">
        <v>20.3875968992248</v>
      </c>
      <c r="F28">
        <v>22.7294615325801</v>
      </c>
      <c r="G28">
        <f t="shared" si="6"/>
        <v>0.6</v>
      </c>
      <c r="I28">
        <f t="shared" si="1"/>
        <v>3</v>
      </c>
      <c r="J28">
        <f t="shared" si="4"/>
        <v>0.203875968992248</v>
      </c>
      <c r="K28">
        <f t="shared" si="2"/>
        <v>22.7294615325801</v>
      </c>
      <c r="L28">
        <f t="shared" si="3"/>
        <v>0.6</v>
      </c>
      <c r="N28">
        <v>4</v>
      </c>
      <c r="O28">
        <v>0.245736434108527</v>
      </c>
      <c r="P28">
        <v>115.349443567666</v>
      </c>
      <c r="Q28">
        <v>0.5</v>
      </c>
    </row>
    <row r="29" spans="4:17" x14ac:dyDescent="0.2">
      <c r="D29">
        <f t="shared" si="5"/>
        <v>4</v>
      </c>
      <c r="E29">
        <v>26.744186046511601</v>
      </c>
      <c r="F29">
        <v>52.5932770885967</v>
      </c>
      <c r="G29">
        <f t="shared" si="6"/>
        <v>0.6</v>
      </c>
      <c r="I29">
        <f t="shared" si="1"/>
        <v>4</v>
      </c>
      <c r="J29">
        <f t="shared" si="4"/>
        <v>0.26744186046511603</v>
      </c>
      <c r="K29">
        <f t="shared" si="2"/>
        <v>52.5932770885967</v>
      </c>
      <c r="L29">
        <f t="shared" si="3"/>
        <v>0.6</v>
      </c>
      <c r="N29">
        <v>5</v>
      </c>
      <c r="O29">
        <v>0.31937984496124</v>
      </c>
      <c r="P29">
        <v>186.774606222356</v>
      </c>
      <c r="Q29">
        <v>0.5</v>
      </c>
    </row>
    <row r="30" spans="4:17" x14ac:dyDescent="0.2">
      <c r="D30">
        <f t="shared" si="5"/>
        <v>5</v>
      </c>
      <c r="E30">
        <v>34.728682170542598</v>
      </c>
      <c r="F30">
        <v>96.493070000341106</v>
      </c>
      <c r="G30">
        <f t="shared" si="6"/>
        <v>0.6</v>
      </c>
      <c r="I30">
        <f t="shared" si="1"/>
        <v>5</v>
      </c>
      <c r="J30">
        <f t="shared" si="4"/>
        <v>0.34728682170542596</v>
      </c>
      <c r="K30">
        <f t="shared" si="2"/>
        <v>96.493070000341106</v>
      </c>
      <c r="L30">
        <f t="shared" si="3"/>
        <v>0.6</v>
      </c>
      <c r="N30">
        <v>6</v>
      </c>
      <c r="O30">
        <v>0.34728682170542596</v>
      </c>
      <c r="P30">
        <v>223.27351487772799</v>
      </c>
      <c r="Q30">
        <v>0.5</v>
      </c>
    </row>
    <row r="31" spans="4:17" x14ac:dyDescent="0.2">
      <c r="D31">
        <v>1</v>
      </c>
      <c r="E31">
        <v>13.7209302325581</v>
      </c>
      <c r="F31">
        <v>1.4547578108480499</v>
      </c>
      <c r="G31">
        <v>0.7</v>
      </c>
      <c r="I31">
        <f t="shared" si="1"/>
        <v>1</v>
      </c>
      <c r="J31">
        <f t="shared" si="4"/>
        <v>0.13720930232558101</v>
      </c>
      <c r="K31">
        <f t="shared" si="2"/>
        <v>1.4547578108480499</v>
      </c>
      <c r="L31">
        <f t="shared" si="3"/>
        <v>0.7</v>
      </c>
      <c r="N31">
        <v>1</v>
      </c>
      <c r="O31">
        <v>8.6821705426356491E-2</v>
      </c>
      <c r="P31">
        <v>1.1954168684575801</v>
      </c>
      <c r="Q31">
        <v>0.6</v>
      </c>
    </row>
    <row r="32" spans="4:17" x14ac:dyDescent="0.2">
      <c r="D32">
        <f t="shared" si="5"/>
        <v>2</v>
      </c>
      <c r="E32">
        <v>18.062015503875902</v>
      </c>
      <c r="F32">
        <v>4.0239369086248997</v>
      </c>
      <c r="G32">
        <f t="shared" si="6"/>
        <v>0.7</v>
      </c>
      <c r="I32">
        <f t="shared" si="1"/>
        <v>2</v>
      </c>
      <c r="J32">
        <f t="shared" si="4"/>
        <v>0.18062015503875903</v>
      </c>
      <c r="K32">
        <f t="shared" si="2"/>
        <v>4.0239369086248997</v>
      </c>
      <c r="L32">
        <f t="shared" si="3"/>
        <v>0.7</v>
      </c>
      <c r="N32">
        <v>2</v>
      </c>
      <c r="O32">
        <v>0.13410852713178201</v>
      </c>
      <c r="P32">
        <v>4.1701822821169303</v>
      </c>
      <c r="Q32">
        <v>0.6</v>
      </c>
    </row>
    <row r="33" spans="4:17" x14ac:dyDescent="0.2">
      <c r="D33">
        <f t="shared" si="5"/>
        <v>3</v>
      </c>
      <c r="E33">
        <v>26.899224806201499</v>
      </c>
      <c r="F33">
        <v>17.703617407992802</v>
      </c>
      <c r="G33">
        <f t="shared" si="6"/>
        <v>0.7</v>
      </c>
      <c r="I33">
        <f t="shared" si="1"/>
        <v>3</v>
      </c>
      <c r="J33">
        <f t="shared" si="4"/>
        <v>0.26899224806201499</v>
      </c>
      <c r="K33">
        <f t="shared" si="2"/>
        <v>17.703617407992802</v>
      </c>
      <c r="L33">
        <f t="shared" si="3"/>
        <v>0.7</v>
      </c>
      <c r="N33">
        <v>3</v>
      </c>
      <c r="O33">
        <v>0.203875968992248</v>
      </c>
      <c r="P33">
        <v>22.7294615325801</v>
      </c>
      <c r="Q33">
        <v>0.6</v>
      </c>
    </row>
    <row r="34" spans="4:17" x14ac:dyDescent="0.2">
      <c r="D34">
        <f t="shared" si="5"/>
        <v>4</v>
      </c>
      <c r="E34">
        <v>32.713178294573602</v>
      </c>
      <c r="F34">
        <v>28.158687175056301</v>
      </c>
      <c r="G34">
        <f t="shared" si="6"/>
        <v>0.7</v>
      </c>
      <c r="I34">
        <f t="shared" si="1"/>
        <v>4</v>
      </c>
      <c r="J34">
        <f t="shared" si="4"/>
        <v>0.32713178294573603</v>
      </c>
      <c r="K34">
        <f t="shared" si="2"/>
        <v>28.158687175056301</v>
      </c>
      <c r="L34">
        <f t="shared" si="3"/>
        <v>0.7</v>
      </c>
      <c r="N34">
        <v>4</v>
      </c>
      <c r="O34">
        <v>0.26744186046511603</v>
      </c>
      <c r="P34">
        <v>52.5932770885967</v>
      </c>
      <c r="Q34">
        <v>0.6</v>
      </c>
    </row>
    <row r="35" spans="4:17" x14ac:dyDescent="0.2">
      <c r="D35">
        <f t="shared" si="5"/>
        <v>5</v>
      </c>
      <c r="E35">
        <v>34.883720930232499</v>
      </c>
      <c r="F35">
        <v>31.341806932858699</v>
      </c>
      <c r="G35">
        <f t="shared" si="6"/>
        <v>0.7</v>
      </c>
      <c r="I35">
        <f t="shared" si="1"/>
        <v>5</v>
      </c>
      <c r="J35">
        <f t="shared" si="4"/>
        <v>0.34883720930232498</v>
      </c>
      <c r="K35">
        <f t="shared" si="2"/>
        <v>31.341806932858699</v>
      </c>
      <c r="L35">
        <f t="shared" si="3"/>
        <v>0.7</v>
      </c>
      <c r="N35">
        <v>5</v>
      </c>
      <c r="O35">
        <v>0.34728682170542596</v>
      </c>
      <c r="P35">
        <v>96.493070000341106</v>
      </c>
      <c r="Q35">
        <v>0.6</v>
      </c>
    </row>
    <row r="36" spans="4:17" x14ac:dyDescent="0.2">
      <c r="D36">
        <v>1</v>
      </c>
      <c r="E36">
        <v>18.062015503875902</v>
      </c>
      <c r="F36">
        <v>1.1330878062213099</v>
      </c>
      <c r="G36">
        <v>0.8</v>
      </c>
      <c r="I36">
        <f t="shared" si="1"/>
        <v>1</v>
      </c>
      <c r="J36">
        <f t="shared" si="4"/>
        <v>0.18062015503875903</v>
      </c>
      <c r="K36">
        <f t="shared" si="2"/>
        <v>1.1330878062213099</v>
      </c>
      <c r="L36">
        <f t="shared" si="3"/>
        <v>0.8</v>
      </c>
      <c r="N36">
        <v>1</v>
      </c>
      <c r="O36">
        <v>0.13720930232558101</v>
      </c>
      <c r="P36">
        <v>1.4547578108480499</v>
      </c>
      <c r="Q36">
        <v>0.7</v>
      </c>
    </row>
    <row r="37" spans="4:17" x14ac:dyDescent="0.2">
      <c r="D37">
        <f t="shared" si="5"/>
        <v>2</v>
      </c>
      <c r="E37">
        <v>24.728682170542601</v>
      </c>
      <c r="F37">
        <v>4.3217427760378904</v>
      </c>
      <c r="G37">
        <f t="shared" si="6"/>
        <v>0.8</v>
      </c>
      <c r="I37">
        <f t="shared" si="1"/>
        <v>2</v>
      </c>
      <c r="J37">
        <f t="shared" si="4"/>
        <v>0.24728682170542601</v>
      </c>
      <c r="K37">
        <f t="shared" si="2"/>
        <v>4.3217427760378904</v>
      </c>
      <c r="L37">
        <f t="shared" si="3"/>
        <v>0.8</v>
      </c>
      <c r="N37">
        <v>2</v>
      </c>
      <c r="O37">
        <v>0.18062015503875903</v>
      </c>
      <c r="P37">
        <v>4.0239369086248997</v>
      </c>
      <c r="Q37">
        <v>0.7</v>
      </c>
    </row>
    <row r="38" spans="4:17" x14ac:dyDescent="0.2">
      <c r="D38">
        <f t="shared" si="5"/>
        <v>3</v>
      </c>
      <c r="E38">
        <v>30.852713178294501</v>
      </c>
      <c r="F38">
        <v>11.130421932675199</v>
      </c>
      <c r="G38">
        <f t="shared" si="6"/>
        <v>0.8</v>
      </c>
      <c r="I38">
        <f t="shared" si="1"/>
        <v>3</v>
      </c>
      <c r="J38">
        <f t="shared" si="4"/>
        <v>0.308527131782945</v>
      </c>
      <c r="K38">
        <f t="shared" si="2"/>
        <v>11.130421932675199</v>
      </c>
      <c r="L38">
        <f t="shared" si="3"/>
        <v>0.8</v>
      </c>
      <c r="N38">
        <v>3</v>
      </c>
      <c r="O38">
        <v>0.26899224806201499</v>
      </c>
      <c r="P38">
        <v>17.703617407992802</v>
      </c>
      <c r="Q38">
        <v>0.7</v>
      </c>
    </row>
    <row r="39" spans="4:17" x14ac:dyDescent="0.2">
      <c r="D39">
        <f t="shared" si="5"/>
        <v>4</v>
      </c>
      <c r="E39">
        <v>34.806201550387598</v>
      </c>
      <c r="F39">
        <v>16.780550400703898</v>
      </c>
      <c r="G39">
        <f t="shared" si="6"/>
        <v>0.8</v>
      </c>
      <c r="I39">
        <f t="shared" si="1"/>
        <v>4</v>
      </c>
      <c r="J39">
        <f t="shared" si="4"/>
        <v>0.348062015503876</v>
      </c>
      <c r="K39">
        <f t="shared" si="2"/>
        <v>16.780550400703898</v>
      </c>
      <c r="L39">
        <f t="shared" si="3"/>
        <v>0.8</v>
      </c>
      <c r="N39">
        <v>4</v>
      </c>
      <c r="O39">
        <v>0.32713178294573603</v>
      </c>
      <c r="P39">
        <v>28.158687175056301</v>
      </c>
      <c r="Q39">
        <v>0.7</v>
      </c>
    </row>
    <row r="40" spans="4:17" x14ac:dyDescent="0.2">
      <c r="D40">
        <v>1</v>
      </c>
      <c r="E40">
        <v>3.7984496124030902</v>
      </c>
      <c r="F40">
        <v>183.47035085452501</v>
      </c>
      <c r="G40">
        <v>0.2</v>
      </c>
      <c r="I40">
        <f t="shared" si="1"/>
        <v>1</v>
      </c>
      <c r="J40">
        <f t="shared" si="4"/>
        <v>3.7984496124030903E-2</v>
      </c>
      <c r="K40">
        <f t="shared" si="2"/>
        <v>183.47035085452501</v>
      </c>
      <c r="L40">
        <f t="shared" si="3"/>
        <v>0.2</v>
      </c>
      <c r="N40">
        <v>5</v>
      </c>
      <c r="O40">
        <v>0.34883720930232498</v>
      </c>
      <c r="P40">
        <v>31.341806932858699</v>
      </c>
      <c r="Q40">
        <v>0.7</v>
      </c>
    </row>
    <row r="41" spans="4:17" x14ac:dyDescent="0.2">
      <c r="D41">
        <f t="shared" si="5"/>
        <v>2</v>
      </c>
      <c r="E41">
        <v>9.53488372093023</v>
      </c>
      <c r="F41">
        <v>432.17427760378803</v>
      </c>
      <c r="G41">
        <f t="shared" si="6"/>
        <v>0.2</v>
      </c>
      <c r="I41">
        <f t="shared" si="1"/>
        <v>2</v>
      </c>
      <c r="J41">
        <f t="shared" si="4"/>
        <v>9.5348837209302303E-2</v>
      </c>
      <c r="K41">
        <f t="shared" si="2"/>
        <v>432.17427760378803</v>
      </c>
      <c r="L41">
        <f t="shared" si="3"/>
        <v>0.2</v>
      </c>
      <c r="N41">
        <v>1</v>
      </c>
      <c r="O41">
        <v>0.18062015503875903</v>
      </c>
      <c r="P41">
        <v>1.1330878062213099</v>
      </c>
      <c r="Q41">
        <v>0.8</v>
      </c>
    </row>
    <row r="42" spans="4:17" x14ac:dyDescent="0.2">
      <c r="D42">
        <f t="shared" si="5"/>
        <v>3</v>
      </c>
      <c r="E42">
        <v>15.271317829457301</v>
      </c>
      <c r="F42">
        <v>964.93070000341095</v>
      </c>
      <c r="G42">
        <f t="shared" si="6"/>
        <v>0.2</v>
      </c>
      <c r="I42">
        <f t="shared" si="1"/>
        <v>3</v>
      </c>
      <c r="J42">
        <f t="shared" si="4"/>
        <v>0.15271317829457301</v>
      </c>
      <c r="K42">
        <f t="shared" si="2"/>
        <v>964.93070000341095</v>
      </c>
      <c r="L42">
        <f t="shared" si="3"/>
        <v>0.2</v>
      </c>
      <c r="N42">
        <v>2</v>
      </c>
      <c r="O42">
        <v>0.24728682170542601</v>
      </c>
      <c r="P42">
        <v>4.3217427760378904</v>
      </c>
      <c r="Q42">
        <v>0.8</v>
      </c>
    </row>
    <row r="43" spans="4:17" x14ac:dyDescent="0.2">
      <c r="D43">
        <f t="shared" si="5"/>
        <v>4</v>
      </c>
      <c r="E43">
        <v>19.1472868217054</v>
      </c>
      <c r="F43">
        <v>1970.4873148561401</v>
      </c>
      <c r="G43">
        <f t="shared" si="6"/>
        <v>0.2</v>
      </c>
      <c r="I43">
        <f t="shared" si="1"/>
        <v>4</v>
      </c>
      <c r="J43">
        <f t="shared" si="4"/>
        <v>0.191472868217054</v>
      </c>
      <c r="K43">
        <f t="shared" si="2"/>
        <v>1970.4873148561401</v>
      </c>
      <c r="L43">
        <f t="shared" si="3"/>
        <v>0.2</v>
      </c>
      <c r="N43">
        <v>3</v>
      </c>
      <c r="O43">
        <v>0.308527131782945</v>
      </c>
      <c r="P43">
        <v>11.130421932675199</v>
      </c>
      <c r="Q43">
        <v>0.8</v>
      </c>
    </row>
    <row r="44" spans="4:17" x14ac:dyDescent="0.2">
      <c r="D44">
        <f t="shared" si="5"/>
        <v>5</v>
      </c>
      <c r="E44">
        <v>21.550387596899199</v>
      </c>
      <c r="F44">
        <v>4559.4738441667796</v>
      </c>
      <c r="G44">
        <f t="shared" si="6"/>
        <v>0.2</v>
      </c>
      <c r="I44">
        <f>D44</f>
        <v>5</v>
      </c>
      <c r="J44">
        <f t="shared" si="4"/>
        <v>0.21550387596899198</v>
      </c>
      <c r="K44">
        <f t="shared" si="2"/>
        <v>4559.4738441667796</v>
      </c>
      <c r="L44">
        <f>G44</f>
        <v>0.2</v>
      </c>
      <c r="N44">
        <v>4</v>
      </c>
      <c r="O44">
        <v>0.348062015503876</v>
      </c>
      <c r="P44">
        <v>16.780550400703898</v>
      </c>
      <c r="Q44">
        <v>0.8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FF36-48FA-9549-B50A-72B56B97702C}">
  <dimension ref="C11:M40"/>
  <sheetViews>
    <sheetView topLeftCell="A7" workbookViewId="0">
      <selection activeCell="F13" sqref="F13:H13"/>
    </sheetView>
  </sheetViews>
  <sheetFormatPr baseColWidth="10" defaultRowHeight="16" x14ac:dyDescent="0.2"/>
  <cols>
    <col min="6" max="6" width="13.83203125" customWidth="1"/>
    <col min="7" max="7" width="14.5" customWidth="1"/>
  </cols>
  <sheetData>
    <row r="11" spans="3:13" ht="21" x14ac:dyDescent="0.25">
      <c r="C11" s="7" t="s">
        <v>3</v>
      </c>
    </row>
    <row r="13" spans="3:13" x14ac:dyDescent="0.2">
      <c r="F13" s="6" t="s">
        <v>0</v>
      </c>
      <c r="G13" s="6" t="s">
        <v>1</v>
      </c>
      <c r="H13" s="6" t="s">
        <v>2</v>
      </c>
      <c r="J13" s="6" t="str">
        <f>F13</f>
        <v>Porosity</v>
      </c>
      <c r="K13" s="6" t="str">
        <f t="shared" ref="K13:L13" si="0">G13</f>
        <v>Permeability</v>
      </c>
      <c r="L13" s="6" t="str">
        <f t="shared" si="0"/>
        <v>Sciw</v>
      </c>
      <c r="M13" s="8" t="s">
        <v>4</v>
      </c>
    </row>
    <row r="14" spans="3:13" x14ac:dyDescent="0.2">
      <c r="E14" s="1">
        <v>1</v>
      </c>
      <c r="F14" s="1">
        <v>5.4085603112840399</v>
      </c>
      <c r="G14" s="1">
        <v>57.895647365413602</v>
      </c>
      <c r="H14" s="1">
        <v>30</v>
      </c>
      <c r="J14">
        <f>F14/100</f>
        <v>5.40856031128404E-2</v>
      </c>
      <c r="K14">
        <f t="shared" ref="K14:K40" si="1">G14</f>
        <v>57.895647365413602</v>
      </c>
      <c r="L14">
        <f>H14/100</f>
        <v>0.3</v>
      </c>
      <c r="M14">
        <f>(K14/J14)^0.5</f>
        <v>32.717651246492998</v>
      </c>
    </row>
    <row r="15" spans="3:13" x14ac:dyDescent="0.2">
      <c r="E15" s="1">
        <f>E14+1</f>
        <v>2</v>
      </c>
      <c r="F15" s="1">
        <v>11.634241245136099</v>
      </c>
      <c r="G15" s="1">
        <v>192.32984987340799</v>
      </c>
      <c r="H15" s="1">
        <f>H14</f>
        <v>30</v>
      </c>
      <c r="J15">
        <f t="shared" ref="J15:J40" si="2">F15/100</f>
        <v>0.116342412451361</v>
      </c>
      <c r="K15">
        <f t="shared" si="1"/>
        <v>192.32984987340799</v>
      </c>
      <c r="L15">
        <f t="shared" ref="L15:L40" si="3">H15/100</f>
        <v>0.3</v>
      </c>
      <c r="M15">
        <f t="shared" ref="M15:M40" si="4">(K15/J15)^0.5</f>
        <v>40.658777254219473</v>
      </c>
    </row>
    <row r="16" spans="3:13" x14ac:dyDescent="0.2">
      <c r="E16" s="1">
        <f t="shared" ref="E16:E40" si="5">E15+1</f>
        <v>3</v>
      </c>
      <c r="F16" s="1">
        <v>18.015564202334598</v>
      </c>
      <c r="G16" s="1">
        <v>438.55427243775398</v>
      </c>
      <c r="H16" s="1">
        <f t="shared" ref="H16:H40" si="6">H15</f>
        <v>30</v>
      </c>
      <c r="J16">
        <f t="shared" si="2"/>
        <v>0.180155642023346</v>
      </c>
      <c r="K16">
        <f t="shared" si="1"/>
        <v>438.55427243775398</v>
      </c>
      <c r="L16">
        <f t="shared" si="3"/>
        <v>0.3</v>
      </c>
      <c r="M16">
        <f t="shared" si="4"/>
        <v>49.338704204081616</v>
      </c>
    </row>
    <row r="17" spans="5:13" x14ac:dyDescent="0.2">
      <c r="E17" s="1">
        <f t="shared" si="5"/>
        <v>4</v>
      </c>
      <c r="F17" s="1">
        <v>22.295719844357901</v>
      </c>
      <c r="G17" s="1">
        <v>1133.63881692633</v>
      </c>
      <c r="H17" s="1">
        <f t="shared" si="6"/>
        <v>30</v>
      </c>
      <c r="J17">
        <f t="shared" si="2"/>
        <v>0.222957198443579</v>
      </c>
      <c r="K17">
        <f t="shared" si="1"/>
        <v>1133.63881692633</v>
      </c>
      <c r="L17">
        <f t="shared" si="3"/>
        <v>0.3</v>
      </c>
      <c r="M17">
        <f t="shared" si="4"/>
        <v>71.306087008780679</v>
      </c>
    </row>
    <row r="18" spans="5:13" x14ac:dyDescent="0.2">
      <c r="E18" s="1">
        <f t="shared" si="5"/>
        <v>5</v>
      </c>
      <c r="F18" s="1">
        <v>25.019455252918199</v>
      </c>
      <c r="G18" s="1">
        <v>3834.0483695848402</v>
      </c>
      <c r="H18" s="1">
        <f t="shared" si="6"/>
        <v>30</v>
      </c>
      <c r="J18">
        <f t="shared" si="2"/>
        <v>0.25019455252918199</v>
      </c>
      <c r="K18">
        <f t="shared" si="1"/>
        <v>3834.0483695848402</v>
      </c>
      <c r="L18">
        <f t="shared" si="3"/>
        <v>0.3</v>
      </c>
      <c r="M18">
        <f t="shared" si="4"/>
        <v>123.79122738694959</v>
      </c>
    </row>
    <row r="19" spans="5:13" x14ac:dyDescent="0.2">
      <c r="E19" s="2">
        <v>1</v>
      </c>
      <c r="F19" s="2">
        <v>5.0972762645914296</v>
      </c>
      <c r="G19" s="2">
        <v>19.4060766843597</v>
      </c>
      <c r="H19" s="2">
        <v>40</v>
      </c>
      <c r="J19">
        <f t="shared" si="2"/>
        <v>5.0972762645914299E-2</v>
      </c>
      <c r="K19">
        <f t="shared" si="1"/>
        <v>19.4060766843597</v>
      </c>
      <c r="L19">
        <f t="shared" si="3"/>
        <v>0.4</v>
      </c>
      <c r="M19">
        <f t="shared" si="4"/>
        <v>19.511910059995344</v>
      </c>
    </row>
    <row r="20" spans="5:13" x14ac:dyDescent="0.2">
      <c r="E20" s="2">
        <f t="shared" si="5"/>
        <v>2</v>
      </c>
      <c r="F20" s="2">
        <v>14.280155642023299</v>
      </c>
      <c r="G20" s="2">
        <v>78.513011221453496</v>
      </c>
      <c r="H20" s="2">
        <f t="shared" si="6"/>
        <v>40</v>
      </c>
      <c r="J20">
        <f t="shared" si="2"/>
        <v>0.14280155642023298</v>
      </c>
      <c r="K20">
        <f t="shared" si="1"/>
        <v>78.513011221453496</v>
      </c>
      <c r="L20">
        <f t="shared" si="3"/>
        <v>0.4</v>
      </c>
      <c r="M20">
        <f t="shared" si="4"/>
        <v>23.447921239650679</v>
      </c>
    </row>
    <row r="21" spans="5:13" x14ac:dyDescent="0.2">
      <c r="E21" s="2">
        <f t="shared" si="5"/>
        <v>3</v>
      </c>
      <c r="F21" s="2">
        <v>22.4513618677042</v>
      </c>
      <c r="G21" s="2">
        <v>247.17019997644701</v>
      </c>
      <c r="H21" s="2">
        <f t="shared" si="6"/>
        <v>40</v>
      </c>
      <c r="J21">
        <f t="shared" si="2"/>
        <v>0.224513618677042</v>
      </c>
      <c r="K21">
        <f t="shared" si="1"/>
        <v>247.17019997644701</v>
      </c>
      <c r="L21">
        <f t="shared" si="3"/>
        <v>0.4</v>
      </c>
      <c r="M21">
        <f t="shared" si="4"/>
        <v>33.180025049520054</v>
      </c>
    </row>
    <row r="22" spans="5:13" x14ac:dyDescent="0.2">
      <c r="E22" s="2">
        <f t="shared" si="5"/>
        <v>4</v>
      </c>
      <c r="F22" s="2">
        <v>29.6108949416342</v>
      </c>
      <c r="G22" s="2">
        <v>488.332864825493</v>
      </c>
      <c r="H22" s="2">
        <f t="shared" si="6"/>
        <v>40</v>
      </c>
      <c r="J22">
        <f t="shared" si="2"/>
        <v>0.29610894941634203</v>
      </c>
      <c r="K22">
        <f t="shared" si="1"/>
        <v>488.332864825493</v>
      </c>
      <c r="L22">
        <f t="shared" si="3"/>
        <v>0.4</v>
      </c>
      <c r="M22">
        <f t="shared" si="4"/>
        <v>40.609927105359994</v>
      </c>
    </row>
    <row r="23" spans="5:13" x14ac:dyDescent="0.2">
      <c r="E23" s="2">
        <f t="shared" si="5"/>
        <v>5</v>
      </c>
      <c r="F23" s="2">
        <v>33.0350194552529</v>
      </c>
      <c r="G23" s="2">
        <v>674.20780263017002</v>
      </c>
      <c r="H23" s="2">
        <f t="shared" si="6"/>
        <v>40</v>
      </c>
      <c r="J23">
        <f t="shared" si="2"/>
        <v>0.33035019455252901</v>
      </c>
      <c r="K23">
        <f t="shared" si="1"/>
        <v>674.20780263017002</v>
      </c>
      <c r="L23">
        <f t="shared" si="3"/>
        <v>0.4</v>
      </c>
      <c r="M23">
        <f t="shared" si="4"/>
        <v>45.176190253213129</v>
      </c>
    </row>
    <row r="24" spans="5:13" x14ac:dyDescent="0.2">
      <c r="E24" s="2">
        <f t="shared" si="5"/>
        <v>6</v>
      </c>
      <c r="F24" s="2">
        <v>34.824902723735399</v>
      </c>
      <c r="G24" s="2">
        <v>1074.30699787308</v>
      </c>
      <c r="H24" s="2">
        <f t="shared" si="6"/>
        <v>40</v>
      </c>
      <c r="J24">
        <f t="shared" si="2"/>
        <v>0.34824902723735396</v>
      </c>
      <c r="K24">
        <f t="shared" si="1"/>
        <v>1074.30699787308</v>
      </c>
      <c r="L24">
        <f t="shared" si="3"/>
        <v>0.4</v>
      </c>
      <c r="M24">
        <f t="shared" si="4"/>
        <v>55.541709975163336</v>
      </c>
    </row>
    <row r="25" spans="5:13" x14ac:dyDescent="0.2">
      <c r="E25" s="3">
        <v>1</v>
      </c>
      <c r="F25" s="3">
        <v>5.2529182879377396</v>
      </c>
      <c r="G25" s="3">
        <v>3.7323678153347601</v>
      </c>
      <c r="H25" s="3">
        <v>50</v>
      </c>
      <c r="J25">
        <f t="shared" si="2"/>
        <v>5.2529182879377398E-2</v>
      </c>
      <c r="K25">
        <f t="shared" si="1"/>
        <v>3.7323678153347601</v>
      </c>
      <c r="L25">
        <f t="shared" si="3"/>
        <v>0.5</v>
      </c>
      <c r="M25">
        <f t="shared" si="4"/>
        <v>8.4293074648142294</v>
      </c>
    </row>
    <row r="26" spans="5:13" x14ac:dyDescent="0.2">
      <c r="E26" s="3">
        <f t="shared" si="5"/>
        <v>2</v>
      </c>
      <c r="F26" s="3">
        <v>9.9221789883268396</v>
      </c>
      <c r="G26" s="3">
        <v>11.750028243087799</v>
      </c>
      <c r="H26" s="3">
        <f t="shared" si="6"/>
        <v>50</v>
      </c>
      <c r="J26">
        <f t="shared" si="2"/>
        <v>9.9221789883268394E-2</v>
      </c>
      <c r="K26">
        <f t="shared" si="1"/>
        <v>11.750028243087799</v>
      </c>
      <c r="L26">
        <f t="shared" si="3"/>
        <v>0.5</v>
      </c>
      <c r="M26">
        <f t="shared" si="4"/>
        <v>10.882180538544342</v>
      </c>
    </row>
    <row r="27" spans="5:13" x14ac:dyDescent="0.2">
      <c r="E27" s="3">
        <f t="shared" si="5"/>
        <v>3</v>
      </c>
      <c r="F27" s="3">
        <v>14.669260700389099</v>
      </c>
      <c r="G27" s="3">
        <v>26.316823212408298</v>
      </c>
      <c r="H27" s="3">
        <f t="shared" si="6"/>
        <v>50</v>
      </c>
      <c r="J27">
        <f t="shared" si="2"/>
        <v>0.146692607003891</v>
      </c>
      <c r="K27">
        <f t="shared" si="1"/>
        <v>26.316823212408298</v>
      </c>
      <c r="L27">
        <f t="shared" si="3"/>
        <v>0.5</v>
      </c>
      <c r="M27">
        <f t="shared" si="4"/>
        <v>13.394071658234228</v>
      </c>
    </row>
    <row r="28" spans="5:13" x14ac:dyDescent="0.2">
      <c r="E28" s="3">
        <f t="shared" si="5"/>
        <v>4</v>
      </c>
      <c r="F28" s="3">
        <v>20.583657587548601</v>
      </c>
      <c r="G28" s="3">
        <v>65.632753184511699</v>
      </c>
      <c r="H28" s="3">
        <f t="shared" si="6"/>
        <v>50</v>
      </c>
      <c r="J28">
        <f t="shared" si="2"/>
        <v>0.20583657587548601</v>
      </c>
      <c r="K28">
        <f t="shared" si="1"/>
        <v>65.632753184511699</v>
      </c>
      <c r="L28">
        <f t="shared" si="3"/>
        <v>0.5</v>
      </c>
      <c r="M28">
        <f t="shared" si="4"/>
        <v>17.856610965371097</v>
      </c>
    </row>
    <row r="29" spans="5:13" x14ac:dyDescent="0.2">
      <c r="E29" s="3">
        <f t="shared" si="5"/>
        <v>5</v>
      </c>
      <c r="F29" s="3">
        <v>23.852140077821002</v>
      </c>
      <c r="G29" s="3">
        <v>106.472476111262</v>
      </c>
      <c r="H29" s="3">
        <f t="shared" si="6"/>
        <v>50</v>
      </c>
      <c r="J29">
        <f t="shared" si="2"/>
        <v>0.23852140077821002</v>
      </c>
      <c r="K29">
        <f t="shared" si="1"/>
        <v>106.472476111262</v>
      </c>
      <c r="L29">
        <f t="shared" si="3"/>
        <v>0.5</v>
      </c>
      <c r="M29">
        <f t="shared" si="4"/>
        <v>21.127835238599388</v>
      </c>
    </row>
    <row r="30" spans="5:13" x14ac:dyDescent="0.2">
      <c r="E30" s="3">
        <f t="shared" si="5"/>
        <v>6</v>
      </c>
      <c r="F30" s="3">
        <v>30.155642023346299</v>
      </c>
      <c r="G30" s="3">
        <v>169.657078605404</v>
      </c>
      <c r="H30" s="3">
        <f t="shared" si="6"/>
        <v>50</v>
      </c>
      <c r="J30">
        <f t="shared" si="2"/>
        <v>0.30155642023346302</v>
      </c>
      <c r="K30">
        <f t="shared" si="1"/>
        <v>169.657078605404</v>
      </c>
      <c r="L30">
        <f t="shared" si="3"/>
        <v>0.5</v>
      </c>
      <c r="M30">
        <f t="shared" si="4"/>
        <v>23.719290965192631</v>
      </c>
    </row>
    <row r="31" spans="5:13" x14ac:dyDescent="0.2">
      <c r="E31" s="3">
        <f t="shared" si="5"/>
        <v>7</v>
      </c>
      <c r="F31" s="3">
        <v>34.980544747081701</v>
      </c>
      <c r="G31" s="3">
        <v>221.97471238742301</v>
      </c>
      <c r="H31" s="3">
        <f t="shared" si="6"/>
        <v>50</v>
      </c>
      <c r="J31">
        <f t="shared" si="2"/>
        <v>0.34980544747081699</v>
      </c>
      <c r="K31">
        <f t="shared" si="1"/>
        <v>221.97471238742301</v>
      </c>
      <c r="L31">
        <f t="shared" si="3"/>
        <v>0.5</v>
      </c>
      <c r="M31">
        <f t="shared" si="4"/>
        <v>25.190597386775973</v>
      </c>
    </row>
    <row r="32" spans="5:13" x14ac:dyDescent="0.2">
      <c r="E32" s="4">
        <v>1</v>
      </c>
      <c r="F32" s="4">
        <v>10</v>
      </c>
      <c r="G32" s="4">
        <v>1.4965708307818899</v>
      </c>
      <c r="H32" s="4">
        <v>60</v>
      </c>
      <c r="J32">
        <f t="shared" si="2"/>
        <v>0.1</v>
      </c>
      <c r="K32">
        <f t="shared" si="1"/>
        <v>1.4965708307818899</v>
      </c>
      <c r="L32">
        <f t="shared" si="3"/>
        <v>0.6</v>
      </c>
      <c r="M32">
        <f t="shared" si="4"/>
        <v>3.8685537747094711</v>
      </c>
    </row>
    <row r="33" spans="5:13" x14ac:dyDescent="0.2">
      <c r="E33" s="4">
        <f t="shared" si="5"/>
        <v>2</v>
      </c>
      <c r="F33" s="4">
        <v>16.070038910505801</v>
      </c>
      <c r="G33" s="4">
        <v>9.1430163030038898</v>
      </c>
      <c r="H33" s="4">
        <f t="shared" si="6"/>
        <v>60</v>
      </c>
      <c r="J33">
        <f t="shared" si="2"/>
        <v>0.16070038910505802</v>
      </c>
      <c r="K33">
        <f t="shared" si="1"/>
        <v>9.1430163030038898</v>
      </c>
      <c r="L33">
        <f t="shared" si="3"/>
        <v>0.6</v>
      </c>
      <c r="M33">
        <f t="shared" si="4"/>
        <v>7.5428640970288656</v>
      </c>
    </row>
    <row r="34" spans="5:13" x14ac:dyDescent="0.2">
      <c r="E34" s="4">
        <f t="shared" si="5"/>
        <v>3</v>
      </c>
      <c r="F34" s="4">
        <v>22.762645914396799</v>
      </c>
      <c r="G34" s="4">
        <v>32.6301204581384</v>
      </c>
      <c r="H34" s="4">
        <f t="shared" si="6"/>
        <v>60</v>
      </c>
      <c r="J34">
        <f t="shared" si="2"/>
        <v>0.22762645914396798</v>
      </c>
      <c r="K34">
        <f t="shared" si="1"/>
        <v>32.6301204581384</v>
      </c>
      <c r="L34">
        <f t="shared" si="3"/>
        <v>0.6</v>
      </c>
      <c r="M34">
        <f t="shared" si="4"/>
        <v>11.972861733146884</v>
      </c>
    </row>
    <row r="35" spans="5:13" x14ac:dyDescent="0.2">
      <c r="E35" s="4">
        <f t="shared" si="5"/>
        <v>4</v>
      </c>
      <c r="F35" s="4">
        <v>29.377431906614699</v>
      </c>
      <c r="G35" s="4">
        <v>64.467157466563606</v>
      </c>
      <c r="H35" s="4">
        <f t="shared" si="6"/>
        <v>60</v>
      </c>
      <c r="J35">
        <f t="shared" si="2"/>
        <v>0.29377431906614698</v>
      </c>
      <c r="K35">
        <f t="shared" si="1"/>
        <v>64.467157466563606</v>
      </c>
      <c r="L35">
        <f t="shared" si="3"/>
        <v>0.6</v>
      </c>
      <c r="M35">
        <f t="shared" si="4"/>
        <v>14.813659111675026</v>
      </c>
    </row>
    <row r="36" spans="5:13" x14ac:dyDescent="0.2">
      <c r="E36" s="4">
        <f t="shared" si="5"/>
        <v>5</v>
      </c>
      <c r="F36" s="4">
        <v>34.9027237354085</v>
      </c>
      <c r="G36" s="4">
        <v>97.347958490646306</v>
      </c>
      <c r="H36" s="4">
        <f t="shared" si="6"/>
        <v>60</v>
      </c>
      <c r="J36">
        <f t="shared" si="2"/>
        <v>0.34902723735408503</v>
      </c>
      <c r="K36">
        <f t="shared" si="1"/>
        <v>97.347958490646306</v>
      </c>
      <c r="L36">
        <f t="shared" si="3"/>
        <v>0.6</v>
      </c>
      <c r="M36">
        <f t="shared" si="4"/>
        <v>16.700664988561314</v>
      </c>
    </row>
    <row r="37" spans="5:13" x14ac:dyDescent="0.2">
      <c r="E37" s="5">
        <v>1</v>
      </c>
      <c r="F37" s="5">
        <v>18.249027237353999</v>
      </c>
      <c r="G37" s="5">
        <v>4.1560143918187098</v>
      </c>
      <c r="H37" s="5">
        <v>70</v>
      </c>
      <c r="J37">
        <f t="shared" si="2"/>
        <v>0.18249027237353999</v>
      </c>
      <c r="K37">
        <f t="shared" si="1"/>
        <v>4.1560143918187098</v>
      </c>
      <c r="L37">
        <f t="shared" si="3"/>
        <v>0.7</v>
      </c>
      <c r="M37">
        <f t="shared" si="4"/>
        <v>4.7722002781331758</v>
      </c>
    </row>
    <row r="38" spans="5:13" x14ac:dyDescent="0.2">
      <c r="E38" s="5">
        <f t="shared" si="5"/>
        <v>2</v>
      </c>
      <c r="F38" s="5">
        <v>25.4863813229572</v>
      </c>
      <c r="G38" s="5">
        <v>15.3734177273546</v>
      </c>
      <c r="H38" s="5">
        <f t="shared" si="6"/>
        <v>70</v>
      </c>
      <c r="J38">
        <f t="shared" si="2"/>
        <v>0.25486381322957202</v>
      </c>
      <c r="K38">
        <f t="shared" si="1"/>
        <v>15.3734177273546</v>
      </c>
      <c r="L38">
        <f t="shared" si="3"/>
        <v>0.7</v>
      </c>
      <c r="M38">
        <f t="shared" si="4"/>
        <v>7.7666033484047832</v>
      </c>
    </row>
    <row r="39" spans="5:13" x14ac:dyDescent="0.2">
      <c r="E39" s="5">
        <f t="shared" si="5"/>
        <v>3</v>
      </c>
      <c r="F39" s="5">
        <v>31.7120622568093</v>
      </c>
      <c r="G39" s="5">
        <v>26.7926434230681</v>
      </c>
      <c r="H39" s="5">
        <f t="shared" si="6"/>
        <v>70</v>
      </c>
      <c r="J39">
        <f t="shared" si="2"/>
        <v>0.31712062256809298</v>
      </c>
      <c r="K39">
        <f t="shared" si="1"/>
        <v>26.7926434230681</v>
      </c>
      <c r="L39">
        <f t="shared" si="3"/>
        <v>0.7</v>
      </c>
      <c r="M39">
        <f t="shared" si="4"/>
        <v>9.1916936093253128</v>
      </c>
    </row>
    <row r="40" spans="5:13" x14ac:dyDescent="0.2">
      <c r="E40" s="5">
        <f t="shared" si="5"/>
        <v>4</v>
      </c>
      <c r="F40" s="5">
        <v>34.591439688715901</v>
      </c>
      <c r="G40" s="5">
        <v>31.481431692803199</v>
      </c>
      <c r="H40" s="5">
        <f t="shared" si="6"/>
        <v>70</v>
      </c>
      <c r="J40">
        <f t="shared" si="2"/>
        <v>0.34591439688715903</v>
      </c>
      <c r="K40">
        <f t="shared" si="1"/>
        <v>31.481431692803199</v>
      </c>
      <c r="L40">
        <f t="shared" si="3"/>
        <v>0.7</v>
      </c>
      <c r="M40">
        <f t="shared" si="4"/>
        <v>9.5398801469235011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2026-02-20T00:44:13Z</dcterms:created>
  <dcterms:modified xsi:type="dcterms:W3CDTF">2026-02-21T17:24:44Z</dcterms:modified>
</cp:coreProperties>
</file>